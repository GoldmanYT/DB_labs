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Лист5" sheetId="6" r:id="rId1"/>
    <sheet name="Fact_Инвестиции" sheetId="1" r:id="rId2"/>
    <sheet name="Фонд" sheetId="2" r:id="rId3"/>
    <sheet name="ЦеннаяБумага" sheetId="3" r:id="rId4"/>
    <sheet name="Инвестор" sheetId="4" r:id="rId5"/>
    <sheet name="Время" sheetId="5" r:id="rId6"/>
  </sheets>
  <definedNames>
    <definedName name="Fact_Инвестиции">Fact_Инвестиции!$A$1:$I$41</definedName>
  </definedNames>
  <calcPr calcId="125725"/>
  <pivotCaches>
    <pivotCache cacheId="10" r:id="rId7"/>
  </pivotCaches>
</workbook>
</file>

<file path=xl/calcChain.xml><?xml version="1.0" encoding="utf-8"?>
<calcChain xmlns="http://schemas.openxmlformats.org/spreadsheetml/2006/main">
  <c r="Z3" i="1"/>
  <c r="AA3"/>
  <c r="AB3"/>
  <c r="AC3"/>
  <c r="AD3"/>
  <c r="AE3"/>
  <c r="Z4"/>
  <c r="AA4"/>
  <c r="AB4"/>
  <c r="AC4"/>
  <c r="AD4"/>
  <c r="AE4"/>
  <c r="Z5"/>
  <c r="AA5"/>
  <c r="AB5"/>
  <c r="AC5"/>
  <c r="AD5"/>
  <c r="AE5"/>
  <c r="Z6"/>
  <c r="AA6"/>
  <c r="AB6"/>
  <c r="AC6"/>
  <c r="AD6"/>
  <c r="AE6"/>
  <c r="Z7"/>
  <c r="AA7"/>
  <c r="AB7"/>
  <c r="AC7"/>
  <c r="AD7"/>
  <c r="AE7"/>
  <c r="Z8"/>
  <c r="AA8"/>
  <c r="AB8"/>
  <c r="AC8"/>
  <c r="AD8"/>
  <c r="AE8"/>
  <c r="Z9"/>
  <c r="AA9"/>
  <c r="AB9"/>
  <c r="AC9"/>
  <c r="AD9"/>
  <c r="AE9"/>
  <c r="Z10"/>
  <c r="AA10"/>
  <c r="AB10"/>
  <c r="AC10"/>
  <c r="AD10"/>
  <c r="AE10"/>
  <c r="Z11"/>
  <c r="AA11"/>
  <c r="AB11"/>
  <c r="AC11"/>
  <c r="AD11"/>
  <c r="AE11"/>
  <c r="Z12"/>
  <c r="AA12"/>
  <c r="AB12"/>
  <c r="AC12"/>
  <c r="AD12"/>
  <c r="AE12"/>
  <c r="Z13"/>
  <c r="AA13"/>
  <c r="AB13"/>
  <c r="AC13"/>
  <c r="AD13"/>
  <c r="AE13"/>
  <c r="Z14"/>
  <c r="AA14"/>
  <c r="AB14"/>
  <c r="AC14"/>
  <c r="AD14"/>
  <c r="AE14"/>
  <c r="Z15"/>
  <c r="AA15"/>
  <c r="AB15"/>
  <c r="AC15"/>
  <c r="AD15"/>
  <c r="AE15"/>
  <c r="Z16"/>
  <c r="AA16"/>
  <c r="AB16"/>
  <c r="AC16"/>
  <c r="AD16"/>
  <c r="AE16"/>
  <c r="Z17"/>
  <c r="AA17"/>
  <c r="AB17"/>
  <c r="AC17"/>
  <c r="AD17"/>
  <c r="AE17"/>
  <c r="Z18"/>
  <c r="AA18"/>
  <c r="AB18"/>
  <c r="AC18"/>
  <c r="AD18"/>
  <c r="AE18"/>
  <c r="Z19"/>
  <c r="AA19"/>
  <c r="AB19"/>
  <c r="AC19"/>
  <c r="AD19"/>
  <c r="AE19"/>
  <c r="Z20"/>
  <c r="AA20"/>
  <c r="AB20"/>
  <c r="AC20"/>
  <c r="AD20"/>
  <c r="AE20"/>
  <c r="Z21"/>
  <c r="AA21"/>
  <c r="AB21"/>
  <c r="AC21"/>
  <c r="AD21"/>
  <c r="AE21"/>
  <c r="Z22"/>
  <c r="AA22"/>
  <c r="AB22"/>
  <c r="AC22"/>
  <c r="AD22"/>
  <c r="AE22"/>
  <c r="Z23"/>
  <c r="AA23"/>
  <c r="AB23"/>
  <c r="AC23"/>
  <c r="AD23"/>
  <c r="AE23"/>
  <c r="Z24"/>
  <c r="AA24"/>
  <c r="AB24"/>
  <c r="AC24"/>
  <c r="AD24"/>
  <c r="AE24"/>
  <c r="Z25"/>
  <c r="AA25"/>
  <c r="AB25"/>
  <c r="AC25"/>
  <c r="AD25"/>
  <c r="AE25"/>
  <c r="Z26"/>
  <c r="AA26"/>
  <c r="AB26"/>
  <c r="AC26"/>
  <c r="AD26"/>
  <c r="AE26"/>
  <c r="Z27"/>
  <c r="AA27"/>
  <c r="AB27"/>
  <c r="AC27"/>
  <c r="AD27"/>
  <c r="AE27"/>
  <c r="Z28"/>
  <c r="AA28"/>
  <c r="AB28"/>
  <c r="AC28"/>
  <c r="AD28"/>
  <c r="AE28"/>
  <c r="Z29"/>
  <c r="AA29"/>
  <c r="AB29"/>
  <c r="AC29"/>
  <c r="AD29"/>
  <c r="AE29"/>
  <c r="Z30"/>
  <c r="AA30"/>
  <c r="AB30"/>
  <c r="AC30"/>
  <c r="AD30"/>
  <c r="AE30"/>
  <c r="Z31"/>
  <c r="AA31"/>
  <c r="AB31"/>
  <c r="AC31"/>
  <c r="AD31"/>
  <c r="AE31"/>
  <c r="Z32"/>
  <c r="AA32"/>
  <c r="AB32"/>
  <c r="AC32"/>
  <c r="AD32"/>
  <c r="AE32"/>
  <c r="Z33"/>
  <c r="AA33"/>
  <c r="AB33"/>
  <c r="AC33"/>
  <c r="AD33"/>
  <c r="AE33"/>
  <c r="Z34"/>
  <c r="AA34"/>
  <c r="AB34"/>
  <c r="AC34"/>
  <c r="AD34"/>
  <c r="AE34"/>
  <c r="Z35"/>
  <c r="AA35"/>
  <c r="AB35"/>
  <c r="AC35"/>
  <c r="AD35"/>
  <c r="AE35"/>
  <c r="Z36"/>
  <c r="AA36"/>
  <c r="AB36"/>
  <c r="AC36"/>
  <c r="AD36"/>
  <c r="AE36"/>
  <c r="Z37"/>
  <c r="AA37"/>
  <c r="AB37"/>
  <c r="AC37"/>
  <c r="AD37"/>
  <c r="AE37"/>
  <c r="Z38"/>
  <c r="AA38"/>
  <c r="AB38"/>
  <c r="AC38"/>
  <c r="AD38"/>
  <c r="AE38"/>
  <c r="Z39"/>
  <c r="AA39"/>
  <c r="AB39"/>
  <c r="AC39"/>
  <c r="AD39"/>
  <c r="AE39"/>
  <c r="Z40"/>
  <c r="AA40"/>
  <c r="AB40"/>
  <c r="AC40"/>
  <c r="AD40"/>
  <c r="AE40"/>
  <c r="Z41"/>
  <c r="AA41"/>
  <c r="AB41"/>
  <c r="AC41"/>
  <c r="AD41"/>
  <c r="AE41"/>
  <c r="AA2"/>
  <c r="AB2"/>
  <c r="AC2"/>
  <c r="AD2"/>
  <c r="AE2"/>
  <c r="Z2"/>
  <c r="U3"/>
  <c r="V3"/>
  <c r="W3"/>
  <c r="X3"/>
  <c r="Y3"/>
  <c r="U4"/>
  <c r="V4"/>
  <c r="W4"/>
  <c r="X4"/>
  <c r="Y4"/>
  <c r="U5"/>
  <c r="V5"/>
  <c r="W5"/>
  <c r="X5"/>
  <c r="Y5"/>
  <c r="U6"/>
  <c r="V6"/>
  <c r="W6"/>
  <c r="X6"/>
  <c r="Y6"/>
  <c r="U7"/>
  <c r="V7"/>
  <c r="W7"/>
  <c r="X7"/>
  <c r="Y7"/>
  <c r="U8"/>
  <c r="V8"/>
  <c r="W8"/>
  <c r="X8"/>
  <c r="Y8"/>
  <c r="U9"/>
  <c r="V9"/>
  <c r="W9"/>
  <c r="X9"/>
  <c r="Y9"/>
  <c r="U10"/>
  <c r="V10"/>
  <c r="W10"/>
  <c r="X10"/>
  <c r="Y10"/>
  <c r="U11"/>
  <c r="V11"/>
  <c r="W11"/>
  <c r="X11"/>
  <c r="Y11"/>
  <c r="U12"/>
  <c r="V12"/>
  <c r="W12"/>
  <c r="X12"/>
  <c r="Y12"/>
  <c r="U13"/>
  <c r="V13"/>
  <c r="W13"/>
  <c r="X13"/>
  <c r="Y13"/>
  <c r="U14"/>
  <c r="V14"/>
  <c r="W14"/>
  <c r="X14"/>
  <c r="Y14"/>
  <c r="U15"/>
  <c r="V15"/>
  <c r="W15"/>
  <c r="X15"/>
  <c r="Y15"/>
  <c r="U16"/>
  <c r="V16"/>
  <c r="W16"/>
  <c r="X16"/>
  <c r="Y16"/>
  <c r="U17"/>
  <c r="V17"/>
  <c r="W17"/>
  <c r="X17"/>
  <c r="Y17"/>
  <c r="U18"/>
  <c r="V18"/>
  <c r="W18"/>
  <c r="X18"/>
  <c r="Y18"/>
  <c r="U19"/>
  <c r="V19"/>
  <c r="W19"/>
  <c r="X19"/>
  <c r="Y19"/>
  <c r="U20"/>
  <c r="V20"/>
  <c r="W20"/>
  <c r="X20"/>
  <c r="Y20"/>
  <c r="U21"/>
  <c r="V21"/>
  <c r="W21"/>
  <c r="X21"/>
  <c r="Y21"/>
  <c r="U22"/>
  <c r="V22"/>
  <c r="W22"/>
  <c r="X22"/>
  <c r="Y22"/>
  <c r="U23"/>
  <c r="V23"/>
  <c r="W23"/>
  <c r="X23"/>
  <c r="Y23"/>
  <c r="U24"/>
  <c r="V24"/>
  <c r="W24"/>
  <c r="X24"/>
  <c r="Y24"/>
  <c r="U25"/>
  <c r="V25"/>
  <c r="W25"/>
  <c r="X25"/>
  <c r="Y25"/>
  <c r="U26"/>
  <c r="V26"/>
  <c r="W26"/>
  <c r="X26"/>
  <c r="Y26"/>
  <c r="U27"/>
  <c r="V27"/>
  <c r="W27"/>
  <c r="X27"/>
  <c r="Y27"/>
  <c r="U28"/>
  <c r="V28"/>
  <c r="W28"/>
  <c r="X28"/>
  <c r="Y28"/>
  <c r="U29"/>
  <c r="V29"/>
  <c r="W29"/>
  <c r="X29"/>
  <c r="Y29"/>
  <c r="U30"/>
  <c r="V30"/>
  <c r="W30"/>
  <c r="X30"/>
  <c r="Y30"/>
  <c r="U31"/>
  <c r="V31"/>
  <c r="W31"/>
  <c r="X31"/>
  <c r="Y31"/>
  <c r="U32"/>
  <c r="V32"/>
  <c r="W32"/>
  <c r="X32"/>
  <c r="Y32"/>
  <c r="U33"/>
  <c r="V33"/>
  <c r="W33"/>
  <c r="X33"/>
  <c r="Y33"/>
  <c r="U34"/>
  <c r="V34"/>
  <c r="W34"/>
  <c r="X34"/>
  <c r="Y34"/>
  <c r="U35"/>
  <c r="V35"/>
  <c r="W35"/>
  <c r="X35"/>
  <c r="Y35"/>
  <c r="U36"/>
  <c r="V36"/>
  <c r="W36"/>
  <c r="X36"/>
  <c r="Y36"/>
  <c r="U37"/>
  <c r="V37"/>
  <c r="W37"/>
  <c r="X37"/>
  <c r="Y37"/>
  <c r="U38"/>
  <c r="V38"/>
  <c r="W38"/>
  <c r="X38"/>
  <c r="Y38"/>
  <c r="U39"/>
  <c r="V39"/>
  <c r="W39"/>
  <c r="X39"/>
  <c r="Y39"/>
  <c r="U40"/>
  <c r="V40"/>
  <c r="W40"/>
  <c r="X40"/>
  <c r="Y40"/>
  <c r="U41"/>
  <c r="V41"/>
  <c r="W41"/>
  <c r="X41"/>
  <c r="Y41"/>
  <c r="V2"/>
  <c r="W2"/>
  <c r="X2"/>
  <c r="Y2"/>
  <c r="U2"/>
  <c r="O3"/>
  <c r="P3"/>
  <c r="Q3"/>
  <c r="R3"/>
  <c r="S3"/>
  <c r="T3"/>
  <c r="O4"/>
  <c r="P4"/>
  <c r="Q4"/>
  <c r="R4"/>
  <c r="S4"/>
  <c r="T4"/>
  <c r="O5"/>
  <c r="P5"/>
  <c r="Q5"/>
  <c r="R5"/>
  <c r="S5"/>
  <c r="T5"/>
  <c r="O6"/>
  <c r="P6"/>
  <c r="Q6"/>
  <c r="R6"/>
  <c r="S6"/>
  <c r="T6"/>
  <c r="O7"/>
  <c r="P7"/>
  <c r="Q7"/>
  <c r="R7"/>
  <c r="S7"/>
  <c r="T7"/>
  <c r="O8"/>
  <c r="P8"/>
  <c r="Q8"/>
  <c r="R8"/>
  <c r="S8"/>
  <c r="T8"/>
  <c r="O9"/>
  <c r="P9"/>
  <c r="Q9"/>
  <c r="R9"/>
  <c r="S9"/>
  <c r="T9"/>
  <c r="O10"/>
  <c r="P10"/>
  <c r="Q10"/>
  <c r="R10"/>
  <c r="S10"/>
  <c r="T10"/>
  <c r="O11"/>
  <c r="P11"/>
  <c r="Q11"/>
  <c r="R11"/>
  <c r="S11"/>
  <c r="T11"/>
  <c r="O12"/>
  <c r="P12"/>
  <c r="Q12"/>
  <c r="R12"/>
  <c r="S12"/>
  <c r="T12"/>
  <c r="O13"/>
  <c r="P13"/>
  <c r="Q13"/>
  <c r="R13"/>
  <c r="S13"/>
  <c r="T13"/>
  <c r="O14"/>
  <c r="P14"/>
  <c r="Q14"/>
  <c r="R14"/>
  <c r="S14"/>
  <c r="T14"/>
  <c r="O15"/>
  <c r="P15"/>
  <c r="Q15"/>
  <c r="R15"/>
  <c r="S15"/>
  <c r="T15"/>
  <c r="O16"/>
  <c r="P16"/>
  <c r="Q16"/>
  <c r="R16"/>
  <c r="S16"/>
  <c r="T16"/>
  <c r="O17"/>
  <c r="P17"/>
  <c r="Q17"/>
  <c r="R17"/>
  <c r="S17"/>
  <c r="T17"/>
  <c r="O18"/>
  <c r="P18"/>
  <c r="Q18"/>
  <c r="R18"/>
  <c r="S18"/>
  <c r="T18"/>
  <c r="O19"/>
  <c r="P19"/>
  <c r="Q19"/>
  <c r="R19"/>
  <c r="S19"/>
  <c r="T19"/>
  <c r="O20"/>
  <c r="P20"/>
  <c r="Q20"/>
  <c r="R20"/>
  <c r="S20"/>
  <c r="T20"/>
  <c r="O21"/>
  <c r="P21"/>
  <c r="Q21"/>
  <c r="R21"/>
  <c r="S21"/>
  <c r="T21"/>
  <c r="O22"/>
  <c r="P22"/>
  <c r="Q22"/>
  <c r="R22"/>
  <c r="S22"/>
  <c r="T22"/>
  <c r="O23"/>
  <c r="P23"/>
  <c r="Q23"/>
  <c r="R23"/>
  <c r="S23"/>
  <c r="T23"/>
  <c r="O24"/>
  <c r="P24"/>
  <c r="Q24"/>
  <c r="R24"/>
  <c r="S24"/>
  <c r="T24"/>
  <c r="O25"/>
  <c r="P25"/>
  <c r="Q25"/>
  <c r="R25"/>
  <c r="S25"/>
  <c r="T25"/>
  <c r="O26"/>
  <c r="P26"/>
  <c r="Q26"/>
  <c r="R26"/>
  <c r="S26"/>
  <c r="T26"/>
  <c r="O27"/>
  <c r="P27"/>
  <c r="Q27"/>
  <c r="R27"/>
  <c r="S27"/>
  <c r="T27"/>
  <c r="O28"/>
  <c r="P28"/>
  <c r="Q28"/>
  <c r="R28"/>
  <c r="S28"/>
  <c r="T28"/>
  <c r="O29"/>
  <c r="P29"/>
  <c r="Q29"/>
  <c r="R29"/>
  <c r="S29"/>
  <c r="T29"/>
  <c r="O30"/>
  <c r="P30"/>
  <c r="Q30"/>
  <c r="R30"/>
  <c r="S30"/>
  <c r="T30"/>
  <c r="O31"/>
  <c r="P31"/>
  <c r="Q31"/>
  <c r="R31"/>
  <c r="S31"/>
  <c r="T31"/>
  <c r="O32"/>
  <c r="P32"/>
  <c r="Q32"/>
  <c r="R32"/>
  <c r="S32"/>
  <c r="T32"/>
  <c r="O33"/>
  <c r="P33"/>
  <c r="Q33"/>
  <c r="R33"/>
  <c r="S33"/>
  <c r="T33"/>
  <c r="O34"/>
  <c r="P34"/>
  <c r="Q34"/>
  <c r="R34"/>
  <c r="S34"/>
  <c r="T34"/>
  <c r="O35"/>
  <c r="P35"/>
  <c r="Q35"/>
  <c r="R35"/>
  <c r="S35"/>
  <c r="T35"/>
  <c r="O36"/>
  <c r="P36"/>
  <c r="Q36"/>
  <c r="R36"/>
  <c r="S36"/>
  <c r="T36"/>
  <c r="O37"/>
  <c r="P37"/>
  <c r="Q37"/>
  <c r="R37"/>
  <c r="S37"/>
  <c r="T37"/>
  <c r="O38"/>
  <c r="P38"/>
  <c r="Q38"/>
  <c r="R38"/>
  <c r="S38"/>
  <c r="T38"/>
  <c r="O39"/>
  <c r="P39"/>
  <c r="Q39"/>
  <c r="R39"/>
  <c r="S39"/>
  <c r="T39"/>
  <c r="O40"/>
  <c r="P40"/>
  <c r="Q40"/>
  <c r="R40"/>
  <c r="S40"/>
  <c r="T40"/>
  <c r="O41"/>
  <c r="P41"/>
  <c r="Q41"/>
  <c r="R41"/>
  <c r="S41"/>
  <c r="T41"/>
  <c r="Q2"/>
  <c r="R2"/>
  <c r="S2"/>
  <c r="T2"/>
  <c r="P2"/>
  <c r="O2"/>
  <c r="J3"/>
  <c r="K3"/>
  <c r="L3"/>
  <c r="M3"/>
  <c r="N3"/>
  <c r="J4"/>
  <c r="K4"/>
  <c r="L4"/>
  <c r="M4"/>
  <c r="N4"/>
  <c r="J5"/>
  <c r="K5"/>
  <c r="L5"/>
  <c r="M5"/>
  <c r="N5"/>
  <c r="J6"/>
  <c r="K6"/>
  <c r="L6"/>
  <c r="M6"/>
  <c r="N6"/>
  <c r="J7"/>
  <c r="K7"/>
  <c r="L7"/>
  <c r="M7"/>
  <c r="N7"/>
  <c r="J8"/>
  <c r="K8"/>
  <c r="L8"/>
  <c r="M8"/>
  <c r="N8"/>
  <c r="J9"/>
  <c r="K9"/>
  <c r="L9"/>
  <c r="M9"/>
  <c r="N9"/>
  <c r="J10"/>
  <c r="K10"/>
  <c r="L10"/>
  <c r="M10"/>
  <c r="N10"/>
  <c r="J11"/>
  <c r="K11"/>
  <c r="L11"/>
  <c r="M11"/>
  <c r="N11"/>
  <c r="J12"/>
  <c r="K12"/>
  <c r="L12"/>
  <c r="M12"/>
  <c r="N12"/>
  <c r="J13"/>
  <c r="K13"/>
  <c r="L13"/>
  <c r="M13"/>
  <c r="N13"/>
  <c r="J14"/>
  <c r="K14"/>
  <c r="L14"/>
  <c r="M14"/>
  <c r="N14"/>
  <c r="J15"/>
  <c r="K15"/>
  <c r="L15"/>
  <c r="M15"/>
  <c r="N15"/>
  <c r="J16"/>
  <c r="K16"/>
  <c r="L16"/>
  <c r="M16"/>
  <c r="N16"/>
  <c r="J17"/>
  <c r="K17"/>
  <c r="L17"/>
  <c r="M17"/>
  <c r="N17"/>
  <c r="J18"/>
  <c r="K18"/>
  <c r="L18"/>
  <c r="M18"/>
  <c r="N18"/>
  <c r="J19"/>
  <c r="K19"/>
  <c r="L19"/>
  <c r="M19"/>
  <c r="N19"/>
  <c r="J20"/>
  <c r="K20"/>
  <c r="L20"/>
  <c r="M20"/>
  <c r="N20"/>
  <c r="J21"/>
  <c r="K21"/>
  <c r="L21"/>
  <c r="M21"/>
  <c r="N21"/>
  <c r="J22"/>
  <c r="K22"/>
  <c r="L22"/>
  <c r="M22"/>
  <c r="N22"/>
  <c r="J23"/>
  <c r="K23"/>
  <c r="L23"/>
  <c r="M23"/>
  <c r="N23"/>
  <c r="J24"/>
  <c r="K24"/>
  <c r="L24"/>
  <c r="M24"/>
  <c r="N24"/>
  <c r="J25"/>
  <c r="K25"/>
  <c r="L25"/>
  <c r="M25"/>
  <c r="N25"/>
  <c r="J26"/>
  <c r="K26"/>
  <c r="L26"/>
  <c r="M26"/>
  <c r="N26"/>
  <c r="J27"/>
  <c r="K27"/>
  <c r="L27"/>
  <c r="M27"/>
  <c r="N27"/>
  <c r="J28"/>
  <c r="K28"/>
  <c r="L28"/>
  <c r="M28"/>
  <c r="N28"/>
  <c r="J29"/>
  <c r="K29"/>
  <c r="L29"/>
  <c r="M29"/>
  <c r="N29"/>
  <c r="J30"/>
  <c r="K30"/>
  <c r="L30"/>
  <c r="M30"/>
  <c r="N30"/>
  <c r="J31"/>
  <c r="K31"/>
  <c r="L31"/>
  <c r="M31"/>
  <c r="N31"/>
  <c r="J32"/>
  <c r="K32"/>
  <c r="L32"/>
  <c r="M32"/>
  <c r="N32"/>
  <c r="J33"/>
  <c r="K33"/>
  <c r="L33"/>
  <c r="M33"/>
  <c r="N33"/>
  <c r="J34"/>
  <c r="K34"/>
  <c r="L34"/>
  <c r="M34"/>
  <c r="N34"/>
  <c r="J35"/>
  <c r="K35"/>
  <c r="L35"/>
  <c r="M35"/>
  <c r="N35"/>
  <c r="J36"/>
  <c r="K36"/>
  <c r="L36"/>
  <c r="M36"/>
  <c r="N36"/>
  <c r="J37"/>
  <c r="K37"/>
  <c r="L37"/>
  <c r="M37"/>
  <c r="N37"/>
  <c r="J38"/>
  <c r="K38"/>
  <c r="L38"/>
  <c r="M38"/>
  <c r="N38"/>
  <c r="J39"/>
  <c r="K39"/>
  <c r="L39"/>
  <c r="M39"/>
  <c r="N39"/>
  <c r="J40"/>
  <c r="K40"/>
  <c r="L40"/>
  <c r="M40"/>
  <c r="N40"/>
  <c r="J41"/>
  <c r="K41"/>
  <c r="L41"/>
  <c r="M41"/>
  <c r="N41"/>
  <c r="K2"/>
  <c r="L2"/>
  <c r="M2"/>
  <c r="N2"/>
  <c r="J2"/>
</calcChain>
</file>

<file path=xl/sharedStrings.xml><?xml version="1.0" encoding="utf-8"?>
<sst xmlns="http://schemas.openxmlformats.org/spreadsheetml/2006/main" count="166" uniqueCount="94">
  <si>
    <t>КодСобытия</t>
  </si>
  <si>
    <t>КодВремени</t>
  </si>
  <si>
    <t>КодФонда</t>
  </si>
  <si>
    <t>КодИнвестора</t>
  </si>
  <si>
    <t>КодЦеннойБумаги</t>
  </si>
  <si>
    <t>КоличествоПаев</t>
  </si>
  <si>
    <t>СтоимостьПая</t>
  </si>
  <si>
    <t>СЧА</t>
  </si>
  <si>
    <t>Доходность</t>
  </si>
  <si>
    <t>Код</t>
  </si>
  <si>
    <t>ISIN_FIGI</t>
  </si>
  <si>
    <t>Наименование</t>
  </si>
  <si>
    <t>Номинал</t>
  </si>
  <si>
    <t>ВалютаНоминала</t>
  </si>
  <si>
    <t>ДатаПогашения</t>
  </si>
  <si>
    <t>ТипБумаги</t>
  </si>
  <si>
    <t>КодЭмитента</t>
  </si>
  <si>
    <t>RU000A0JXYF1</t>
  </si>
  <si>
    <t>ОФЗ 26231</t>
  </si>
  <si>
    <t>RUB</t>
  </si>
  <si>
    <t>Гос. облигация</t>
  </si>
  <si>
    <t>RU000A0JX0F2</t>
  </si>
  <si>
    <t>Газпромбанк-10</t>
  </si>
  <si>
    <t>Корп. облигация</t>
  </si>
  <si>
    <t>US0378331005</t>
  </si>
  <si>
    <t>Apple</t>
  </si>
  <si>
    <t>USD</t>
  </si>
  <si>
    <t>Акция</t>
  </si>
  <si>
    <t>US5949181045</t>
  </si>
  <si>
    <t>Microsoft</t>
  </si>
  <si>
    <t>RU000A0JXUF3</t>
  </si>
  <si>
    <t>Сбербанк-5</t>
  </si>
  <si>
    <t>RU000A0JXVF4</t>
  </si>
  <si>
    <t>ВТБ-7</t>
  </si>
  <si>
    <t>Название</t>
  </si>
  <si>
    <t>ISIN</t>
  </si>
  <si>
    <t>ДатаСоздания</t>
  </si>
  <si>
    <t>Статус</t>
  </si>
  <si>
    <t>Валюта</t>
  </si>
  <si>
    <t>КодВидаФонда</t>
  </si>
  <si>
    <t>Фонд Ликвидность</t>
  </si>
  <si>
    <t>RU000A0JX123</t>
  </si>
  <si>
    <t>активен</t>
  </si>
  <si>
    <t>Фонд Стабильность</t>
  </si>
  <si>
    <t>RU000A0JX456</t>
  </si>
  <si>
    <t>Фонд Рост</t>
  </si>
  <si>
    <t>RU000A0JX789</t>
  </si>
  <si>
    <t>Фонд Баланс</t>
  </si>
  <si>
    <t>RU000A0JXABC</t>
  </si>
  <si>
    <t>Тип</t>
  </si>
  <si>
    <t>Идентификатор</t>
  </si>
  <si>
    <t>Наименование_ФИО</t>
  </si>
  <si>
    <t>Категория</t>
  </si>
  <si>
    <t>Регион</t>
  </si>
  <si>
    <t>Физическое лицо</t>
  </si>
  <si>
    <t>770112345678</t>
  </si>
  <si>
    <t>Иванов Алексей Петрович</t>
  </si>
  <si>
    <t>Квалифицированный</t>
  </si>
  <si>
    <t>Москва</t>
  </si>
  <si>
    <t>Юридическое лицо</t>
  </si>
  <si>
    <t>770198765432</t>
  </si>
  <si>
    <t>ООО "ИнвестПро"</t>
  </si>
  <si>
    <t>Профессиональный</t>
  </si>
  <si>
    <t>Санкт-Петербург</t>
  </si>
  <si>
    <t>770123456789</t>
  </si>
  <si>
    <t>Смирнова Мария Игоревна</t>
  </si>
  <si>
    <t>Неквалифицированный</t>
  </si>
  <si>
    <t>Новосибирск</t>
  </si>
  <si>
    <t>770187654321</t>
  </si>
  <si>
    <t>АО "КапиталТраст"</t>
  </si>
  <si>
    <t>770134567890</t>
  </si>
  <si>
    <t>Кузнецов Дмитрий Сергеевич</t>
  </si>
  <si>
    <t>Екатеринбург</t>
  </si>
  <si>
    <t>Дата</t>
  </si>
  <si>
    <t>Год</t>
  </si>
  <si>
    <t>Квартал</t>
  </si>
  <si>
    <t>Месяц</t>
  </si>
  <si>
    <t>День</t>
  </si>
  <si>
    <t>ДеньНедели</t>
  </si>
  <si>
    <t>Понедельник</t>
  </si>
  <si>
    <t>Четверг</t>
  </si>
  <si>
    <t>Пятница</t>
  </si>
  <si>
    <t>Среда</t>
  </si>
  <si>
    <t>Суббота</t>
  </si>
  <si>
    <t>Воскресенье</t>
  </si>
  <si>
    <t>Вторник</t>
  </si>
  <si>
    <t>(Все)</t>
  </si>
  <si>
    <t>Общий итог</t>
  </si>
  <si>
    <t>Сумма по полю СЧА</t>
  </si>
  <si>
    <t>Итог Сумма по полю СЧА</t>
  </si>
  <si>
    <t>Итог Сумма по полю КоличествоПаев</t>
  </si>
  <si>
    <t>Сумма по полю КоличествоПаев</t>
  </si>
  <si>
    <t>Название фонда</t>
  </si>
  <si>
    <t>№ месяца</t>
  </si>
</sst>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 applyAlignment="1" applyProtection="1">
      <alignment vertical="center"/>
    </xf>
    <xf numFmtId="14" fontId="0" fillId="0" borderId="0" xfId="0" applyNumberFormat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textRotation="90"/>
    </xf>
  </cellXfs>
  <cellStyles count="1">
    <cellStyle name="Обычный" xfId="0" builtinId="0"/>
  </cellStyles>
  <dxfs count="4">
    <dxf>
      <alignment textRotation="90" readingOrder="0"/>
    </dxf>
    <dxf>
      <alignment textRotation="90" readingOrder="0"/>
    </dxf>
    <dxf>
      <alignment textRotation="90" readingOrder="0"/>
    </dxf>
    <dxf>
      <alignment textRotation="9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[Fact_Инвестиции.xlsx]Лист5!СводнаяТаблица1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Лист5!$B$5:$B$7</c:f>
              <c:strCache>
                <c:ptCount val="1"/>
                <c:pt idx="0">
                  <c:v>Сумма по полю СЧА - Apple</c:v>
                </c:pt>
              </c:strCache>
            </c:strRef>
          </c:tx>
          <c:cat>
            <c:strRef>
              <c:f>Лист5!$A$8:$A$20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Лист5!$B$8:$B$20</c:f>
              <c:numCache>
                <c:formatCode>General</c:formatCode>
                <c:ptCount val="12"/>
                <c:pt idx="0">
                  <c:v>1482000</c:v>
                </c:pt>
                <c:pt idx="1">
                  <c:v>1619250</c:v>
                </c:pt>
                <c:pt idx="2">
                  <c:v>1761750</c:v>
                </c:pt>
                <c:pt idx="3">
                  <c:v>1902850</c:v>
                </c:pt>
                <c:pt idx="4">
                  <c:v>2058000</c:v>
                </c:pt>
                <c:pt idx="6">
                  <c:v>2312750</c:v>
                </c:pt>
                <c:pt idx="8">
                  <c:v>2590800</c:v>
                </c:pt>
                <c:pt idx="10">
                  <c:v>2879500</c:v>
                </c:pt>
                <c:pt idx="11">
                  <c:v>3202500</c:v>
                </c:pt>
              </c:numCache>
            </c:numRef>
          </c:val>
        </c:ser>
        <c:ser>
          <c:idx val="1"/>
          <c:order val="1"/>
          <c:tx>
            <c:strRef>
              <c:f>Лист5!$C$5:$C$7</c:f>
              <c:strCache>
                <c:ptCount val="1"/>
                <c:pt idx="0">
                  <c:v>Сумма по полю СЧА - Microsoft</c:v>
                </c:pt>
              </c:strCache>
            </c:strRef>
          </c:tx>
          <c:cat>
            <c:strRef>
              <c:f>Лист5!$A$8:$A$20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Лист5!$C$8:$C$20</c:f>
              <c:numCache>
                <c:formatCode>General</c:formatCode>
                <c:ptCount val="12"/>
                <c:pt idx="0">
                  <c:v>48000000</c:v>
                </c:pt>
                <c:pt idx="1">
                  <c:v>51608000</c:v>
                </c:pt>
                <c:pt idx="2">
                  <c:v>55250000</c:v>
                </c:pt>
                <c:pt idx="3">
                  <c:v>59044500</c:v>
                </c:pt>
                <c:pt idx="4">
                  <c:v>66315000</c:v>
                </c:pt>
                <c:pt idx="6">
                  <c:v>73700000</c:v>
                </c:pt>
                <c:pt idx="8">
                  <c:v>81246000</c:v>
                </c:pt>
                <c:pt idx="10">
                  <c:v>88940800</c:v>
                </c:pt>
                <c:pt idx="11">
                  <c:v>96887000</c:v>
                </c:pt>
              </c:numCache>
            </c:numRef>
          </c:val>
        </c:ser>
        <c:ser>
          <c:idx val="2"/>
          <c:order val="2"/>
          <c:tx>
            <c:strRef>
              <c:f>Лист5!$D$5:$D$7</c:f>
              <c:strCache>
                <c:ptCount val="1"/>
                <c:pt idx="0">
                  <c:v>Сумма по полю СЧА - Газпромбанк-10</c:v>
                </c:pt>
              </c:strCache>
            </c:strRef>
          </c:tx>
          <c:cat>
            <c:strRef>
              <c:f>Лист5!$A$8:$A$20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Лист5!$D$8:$D$20</c:f>
              <c:numCache>
                <c:formatCode>General</c:formatCode>
                <c:ptCount val="12"/>
                <c:pt idx="0">
                  <c:v>215027900</c:v>
                </c:pt>
                <c:pt idx="1">
                  <c:v>112831700</c:v>
                </c:pt>
                <c:pt idx="2">
                  <c:v>118008000</c:v>
                </c:pt>
                <c:pt idx="4">
                  <c:v>125477200</c:v>
                </c:pt>
                <c:pt idx="5">
                  <c:v>130974000</c:v>
                </c:pt>
                <c:pt idx="7">
                  <c:v>136734800</c:v>
                </c:pt>
                <c:pt idx="9">
                  <c:v>144859000</c:v>
                </c:pt>
                <c:pt idx="11">
                  <c:v>312900200</c:v>
                </c:pt>
              </c:numCache>
            </c:numRef>
          </c:val>
        </c:ser>
        <c:ser>
          <c:idx val="3"/>
          <c:order val="3"/>
          <c:tx>
            <c:strRef>
              <c:f>Лист5!$E$5:$E$7</c:f>
              <c:strCache>
                <c:ptCount val="1"/>
                <c:pt idx="0">
                  <c:v>Сумма по полю СЧА - ОФЗ 26231</c:v>
                </c:pt>
              </c:strCache>
            </c:strRef>
          </c:tx>
          <c:cat>
            <c:strRef>
              <c:f>Лист5!$A$8:$A$20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Лист5!$E$8:$E$20</c:f>
              <c:numCache>
                <c:formatCode>General</c:formatCode>
                <c:ptCount val="12"/>
                <c:pt idx="0">
                  <c:v>54683600</c:v>
                </c:pt>
                <c:pt idx="1">
                  <c:v>23380500</c:v>
                </c:pt>
                <c:pt idx="2">
                  <c:v>26755000</c:v>
                </c:pt>
                <c:pt idx="3">
                  <c:v>30209200</c:v>
                </c:pt>
                <c:pt idx="5">
                  <c:v>32568000</c:v>
                </c:pt>
                <c:pt idx="7">
                  <c:v>38335500</c:v>
                </c:pt>
                <c:pt idx="9">
                  <c:v>44350000</c:v>
                </c:pt>
                <c:pt idx="11">
                  <c:v>107783000</c:v>
                </c:pt>
              </c:numCache>
            </c:numRef>
          </c:val>
        </c:ser>
        <c:ser>
          <c:idx val="4"/>
          <c:order val="4"/>
          <c:tx>
            <c:strRef>
              <c:f>Лист5!$F$5:$F$7</c:f>
              <c:strCache>
                <c:ptCount val="1"/>
                <c:pt idx="0">
                  <c:v>Сумма по полю КоличествоПаев - Apple</c:v>
                </c:pt>
              </c:strCache>
            </c:strRef>
          </c:tx>
          <c:cat>
            <c:strRef>
              <c:f>Лист5!$A$8:$A$20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Лист5!$F$8:$F$20</c:f>
              <c:numCache>
                <c:formatCode>General</c:formatCode>
                <c:ptCount val="12"/>
                <c:pt idx="0">
                  <c:v>8000</c:v>
                </c:pt>
                <c:pt idx="1">
                  <c:v>8500</c:v>
                </c:pt>
                <c:pt idx="2">
                  <c:v>9000</c:v>
                </c:pt>
                <c:pt idx="3">
                  <c:v>9500</c:v>
                </c:pt>
                <c:pt idx="4">
                  <c:v>10000</c:v>
                </c:pt>
                <c:pt idx="6">
                  <c:v>11000</c:v>
                </c:pt>
                <c:pt idx="8">
                  <c:v>12000</c:v>
                </c:pt>
                <c:pt idx="10">
                  <c:v>13000</c:v>
                </c:pt>
                <c:pt idx="11">
                  <c:v>14000</c:v>
                </c:pt>
              </c:numCache>
            </c:numRef>
          </c:val>
        </c:ser>
        <c:ser>
          <c:idx val="5"/>
          <c:order val="5"/>
          <c:tx>
            <c:strRef>
              <c:f>Лист5!$G$5:$G$7</c:f>
              <c:strCache>
                <c:ptCount val="1"/>
                <c:pt idx="0">
                  <c:v>Сумма по полю КоличествоПаев - Microsoft</c:v>
                </c:pt>
              </c:strCache>
            </c:strRef>
          </c:tx>
          <c:cat>
            <c:strRef>
              <c:f>Лист5!$A$8:$A$20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Лист5!$G$8:$G$20</c:f>
              <c:numCache>
                <c:formatCode>General</c:formatCode>
                <c:ptCount val="12"/>
                <c:pt idx="0">
                  <c:v>15000</c:v>
                </c:pt>
                <c:pt idx="1">
                  <c:v>16000</c:v>
                </c:pt>
                <c:pt idx="2">
                  <c:v>17000</c:v>
                </c:pt>
                <c:pt idx="3">
                  <c:v>18000</c:v>
                </c:pt>
                <c:pt idx="4">
                  <c:v>20000</c:v>
                </c:pt>
                <c:pt idx="6">
                  <c:v>22000</c:v>
                </c:pt>
                <c:pt idx="8">
                  <c:v>24000</c:v>
                </c:pt>
                <c:pt idx="10">
                  <c:v>26000</c:v>
                </c:pt>
                <c:pt idx="11">
                  <c:v>28000</c:v>
                </c:pt>
              </c:numCache>
            </c:numRef>
          </c:val>
        </c:ser>
        <c:ser>
          <c:idx val="6"/>
          <c:order val="6"/>
          <c:tx>
            <c:strRef>
              <c:f>Лист5!$H$5:$H$7</c:f>
              <c:strCache>
                <c:ptCount val="1"/>
                <c:pt idx="0">
                  <c:v>Сумма по полю КоличествоПаев - Газпромбанк-10</c:v>
                </c:pt>
              </c:strCache>
            </c:strRef>
          </c:tx>
          <c:cat>
            <c:strRef>
              <c:f>Лист5!$A$8:$A$20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Лист5!$H$8:$H$20</c:f>
              <c:numCache>
                <c:formatCode>General</c:formatCode>
                <c:ptCount val="12"/>
                <c:pt idx="0">
                  <c:v>102000</c:v>
                </c:pt>
                <c:pt idx="1">
                  <c:v>53000</c:v>
                </c:pt>
                <c:pt idx="2">
                  <c:v>55000</c:v>
                </c:pt>
                <c:pt idx="4">
                  <c:v>58000</c:v>
                </c:pt>
                <c:pt idx="5">
                  <c:v>60000</c:v>
                </c:pt>
                <c:pt idx="7">
                  <c:v>62000</c:v>
                </c:pt>
                <c:pt idx="9">
                  <c:v>65000</c:v>
                </c:pt>
                <c:pt idx="11">
                  <c:v>138000</c:v>
                </c:pt>
              </c:numCache>
            </c:numRef>
          </c:val>
        </c:ser>
        <c:ser>
          <c:idx val="7"/>
          <c:order val="7"/>
          <c:tx>
            <c:strRef>
              <c:f>Лист5!$I$5:$I$7</c:f>
              <c:strCache>
                <c:ptCount val="1"/>
                <c:pt idx="0">
                  <c:v>Сумма по полю КоличествоПаев - ОФЗ 26231</c:v>
                </c:pt>
              </c:strCache>
            </c:strRef>
          </c:tx>
          <c:cat>
            <c:strRef>
              <c:f>Лист5!$A$8:$A$20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Лист5!$I$8:$I$20</c:f>
              <c:numCache>
                <c:formatCode>General</c:formatCode>
                <c:ptCount val="12"/>
                <c:pt idx="0">
                  <c:v>52000</c:v>
                </c:pt>
                <c:pt idx="1">
                  <c:v>22000</c:v>
                </c:pt>
                <c:pt idx="2">
                  <c:v>25000</c:v>
                </c:pt>
                <c:pt idx="3">
                  <c:v>28000</c:v>
                </c:pt>
                <c:pt idx="5">
                  <c:v>30000</c:v>
                </c:pt>
                <c:pt idx="7">
                  <c:v>35000</c:v>
                </c:pt>
                <c:pt idx="9">
                  <c:v>40000</c:v>
                </c:pt>
                <c:pt idx="11">
                  <c:v>95000</c:v>
                </c:pt>
              </c:numCache>
            </c:numRef>
          </c:val>
        </c:ser>
        <c:axId val="74878976"/>
        <c:axId val="74880512"/>
      </c:barChart>
      <c:catAx>
        <c:axId val="74878976"/>
        <c:scaling>
          <c:orientation val="minMax"/>
        </c:scaling>
        <c:axPos val="b"/>
        <c:tickLblPos val="nextTo"/>
        <c:crossAx val="74880512"/>
        <c:crosses val="autoZero"/>
        <c:auto val="1"/>
        <c:lblAlgn val="ctr"/>
        <c:lblOffset val="100"/>
      </c:catAx>
      <c:valAx>
        <c:axId val="74880512"/>
        <c:scaling>
          <c:orientation val="minMax"/>
        </c:scaling>
        <c:axPos val="l"/>
        <c:majorGridlines/>
        <c:numFmt formatCode="General" sourceLinked="1"/>
        <c:tickLblPos val="nextTo"/>
        <c:crossAx val="748789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561974</xdr:colOff>
      <xdr:row>31</xdr:row>
      <xdr:rowOff>57150</xdr:rowOff>
    </xdr:from>
    <xdr:to>
      <xdr:col>5</xdr:col>
      <xdr:colOff>2133600</xdr:colOff>
      <xdr:row>46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14.548644328701" createdVersion="3" refreshedVersion="3" minRefreshableVersion="3" recordCount="40">
  <cacheSource type="worksheet">
    <worksheetSource ref="A1:AE41" sheet="Fact_Инвестиции"/>
  </cacheSource>
  <cacheFields count="31">
    <cacheField name="КодСобытия" numFmtId="0">
      <sharedItems containsSemiMixedTypes="0" containsString="0" containsNumber="1" containsInteger="1" minValue="1" maxValue="41"/>
    </cacheField>
    <cacheField name="КодВремени" numFmtId="0">
      <sharedItems containsSemiMixedTypes="0" containsString="0" containsNumber="1" containsInteger="1" minValue="20240101" maxValue="20241215"/>
    </cacheField>
    <cacheField name="КодФонда" numFmtId="0">
      <sharedItems containsSemiMixedTypes="0" containsString="0" containsNumber="1" containsInteger="1" minValue="1" maxValue="4"/>
    </cacheField>
    <cacheField name="КодИнвестора" numFmtId="0">
      <sharedItems containsSemiMixedTypes="0" containsString="0" containsNumber="1" containsInteger="1" minValue="1" maxValue="5"/>
    </cacheField>
    <cacheField name="КодЦеннойБумаги" numFmtId="0">
      <sharedItems containsSemiMixedTypes="0" containsString="0" containsNumber="1" containsInteger="1" minValue="1" maxValue="4"/>
    </cacheField>
    <cacheField name="КоличествоПаев" numFmtId="4">
      <sharedItems containsSemiMixedTypes="0" containsString="0" containsNumber="1" containsInteger="1" minValue="8000" maxValue="70000"/>
    </cacheField>
    <cacheField name="СтоимостьПая" numFmtId="4">
      <sharedItems containsSemiMixedTypes="0" containsString="0" containsNumber="1" minValue="185.25" maxValue="3460.25"/>
    </cacheField>
    <cacheField name="СЧА" numFmtId="4">
      <sharedItems containsSemiMixedTypes="0" containsString="0" containsNumber="1" containsInteger="1" minValue="1482000" maxValue="159635000"/>
    </cacheField>
    <cacheField name="Доходность" numFmtId="0">
      <sharedItems containsSemiMixedTypes="0" containsString="0" containsNumber="1" minValue="6.8" maxValue="17.899999999999999"/>
    </cacheField>
    <cacheField name="Тип" numFmtId="0">
      <sharedItems/>
    </cacheField>
    <cacheField name="Идентификатор" numFmtId="0">
      <sharedItems count="5">
        <s v="770112345678"/>
        <s v="770198765432"/>
        <s v="770123456789"/>
        <s v="770187654321"/>
        <s v="770134567890"/>
      </sharedItems>
    </cacheField>
    <cacheField name="Наименование_ФИО" numFmtId="0">
      <sharedItems/>
    </cacheField>
    <cacheField name="Категория" numFmtId="0">
      <sharedItems count="3">
        <s v="Квалифицированный"/>
        <s v="Профессиональный"/>
        <s v="Неквалифицированный"/>
      </sharedItems>
    </cacheField>
    <cacheField name="Регион" numFmtId="0">
      <sharedItems count="4">
        <s v="Москва"/>
        <s v="Санкт-Петербург"/>
        <s v="Новосибирск"/>
        <s v="Екатеринбург"/>
      </sharedItems>
    </cacheField>
    <cacheField name="ISIN_FIGI" numFmtId="0">
      <sharedItems/>
    </cacheField>
    <cacheField name="Наименование" numFmtId="0">
      <sharedItems count="4">
        <s v="ОФЗ 26231"/>
        <s v="Газпромбанк-10"/>
        <s v="Apple"/>
        <s v="Microsoft"/>
      </sharedItems>
    </cacheField>
    <cacheField name="Номинал" numFmtId="0">
      <sharedItems containsSemiMixedTypes="0" containsString="0" containsNumber="1" containsInteger="1" minValue="0" maxValue="1000"/>
    </cacheField>
    <cacheField name="ВалютаНоминала" numFmtId="0">
      <sharedItems/>
    </cacheField>
    <cacheField name="ДатаПогашения" numFmtId="0">
      <sharedItems containsSemiMixedTypes="0" containsString="0" containsNumber="1" containsInteger="1" minValue="0" maxValue="47848"/>
    </cacheField>
    <cacheField name="ТипБумаги" numFmtId="0">
      <sharedItems count="3">
        <s v="Гос. облигация"/>
        <s v="Корп. облигация"/>
        <s v="Акция"/>
      </sharedItems>
    </cacheField>
    <cacheField name="Название" numFmtId="0">
      <sharedItems count="4">
        <s v="RU000A0JXYF1"/>
        <s v="RU000A0JX0F2"/>
        <s v="US0378331005"/>
        <s v="US5949181045"/>
      </sharedItems>
    </cacheField>
    <cacheField name="ISIN" numFmtId="0">
      <sharedItems count="4">
        <s v="ОФЗ 26231"/>
        <s v="Газпромбанк-10"/>
        <s v="Apple"/>
        <s v="Microsoft"/>
      </sharedItems>
    </cacheField>
    <cacheField name="ДатаСоздания" numFmtId="0">
      <sharedItems containsSemiMixedTypes="0" containsString="0" containsNumber="1" containsInteger="1" minValue="0" maxValue="1000"/>
    </cacheField>
    <cacheField name="Статус" numFmtId="0">
      <sharedItems/>
    </cacheField>
    <cacheField name="Валюта" numFmtId="0">
      <sharedItems containsSemiMixedTypes="0" containsString="0" containsNumber="1" containsInteger="1" minValue="0" maxValue="47848"/>
    </cacheField>
    <cacheField name="Дата" numFmtId="0">
      <sharedItems containsSemiMixedTypes="0" containsString="0" containsNumber="1" containsInteger="1" minValue="45292" maxValue="45641"/>
    </cacheField>
    <cacheField name="Год" numFmtId="0">
      <sharedItems containsSemiMixedTypes="0" containsString="0" containsNumber="1" containsInteger="1" minValue="2024" maxValue="2024" count="1">
        <n v="2024"/>
      </sharedItems>
    </cacheField>
    <cacheField name="Квартал" numFmtId="0">
      <sharedItems containsSemiMixedTypes="0" containsString="0" containsNumber="1" containsInteger="1" minValue="1" maxValue="4"/>
    </cacheField>
    <cacheField name="Месяц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День" numFmtId="0">
      <sharedItems containsSemiMixedTypes="0" containsString="0" containsNumber="1" containsInteger="1" minValue="1" maxValue="15"/>
    </cacheField>
    <cacheField name="ДеньНедели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1"/>
    <n v="20240101"/>
    <n v="1"/>
    <n v="1"/>
    <n v="1"/>
    <n v="10000"/>
    <n v="1050.5"/>
    <n v="10505000"/>
    <n v="7.2"/>
    <s v="Физическое лицо"/>
    <x v="0"/>
    <s v="Иванов Алексей Петрович"/>
    <x v="0"/>
    <x v="0"/>
    <s v="RU000A0JXYF1"/>
    <x v="0"/>
    <n v="1000"/>
    <s v="RUB"/>
    <n v="47848"/>
    <x v="0"/>
    <x v="0"/>
    <x v="0"/>
    <n v="1000"/>
    <s v="RUB"/>
    <n v="47848"/>
    <n v="45292"/>
    <x v="0"/>
    <n v="1"/>
    <x v="0"/>
    <n v="1"/>
    <s v="Понедельник"/>
  </r>
  <r>
    <n v="2"/>
    <n v="20240101"/>
    <n v="2"/>
    <n v="2"/>
    <n v="2"/>
    <n v="50000"/>
    <n v="2100.75"/>
    <n v="105037500"/>
    <n v="8.5"/>
    <s v="Юридическое лицо"/>
    <x v="1"/>
    <s v="ООО &quot;ИнвестПро&quot;"/>
    <x v="1"/>
    <x v="1"/>
    <s v="RU000A0JX0F2"/>
    <x v="1"/>
    <n v="1000"/>
    <s v="RUB"/>
    <n v="46888"/>
    <x v="1"/>
    <x v="1"/>
    <x v="1"/>
    <n v="1000"/>
    <s v="RUB"/>
    <n v="46888"/>
    <n v="45292"/>
    <x v="0"/>
    <n v="1"/>
    <x v="0"/>
    <n v="1"/>
    <s v="Понедельник"/>
  </r>
  <r>
    <n v="3"/>
    <n v="20240101"/>
    <n v="3"/>
    <n v="3"/>
    <n v="3"/>
    <n v="8000"/>
    <n v="185.25"/>
    <n v="1482000"/>
    <n v="12.3"/>
    <s v="Физическое лицо"/>
    <x v="2"/>
    <s v="Смирнова Мария Игоревна"/>
    <x v="2"/>
    <x v="2"/>
    <s v="US0378331005"/>
    <x v="2"/>
    <n v="0"/>
    <s v="USD"/>
    <n v="0"/>
    <x v="2"/>
    <x v="2"/>
    <x v="2"/>
    <n v="0"/>
    <s v="USD"/>
    <n v="0"/>
    <n v="45292"/>
    <x v="0"/>
    <n v="1"/>
    <x v="0"/>
    <n v="1"/>
    <s v="Понедельник"/>
  </r>
  <r>
    <n v="5"/>
    <n v="20240101"/>
    <n v="4"/>
    <n v="4"/>
    <n v="4"/>
    <n v="15000"/>
    <n v="3200"/>
    <n v="48000000"/>
    <n v="6.8"/>
    <s v="Юридическое лицо"/>
    <x v="3"/>
    <s v="АО &quot;КапиталТраст&quot;"/>
    <x v="1"/>
    <x v="0"/>
    <s v="US5949181045"/>
    <x v="3"/>
    <n v="0"/>
    <s v="USD"/>
    <n v="0"/>
    <x v="2"/>
    <x v="3"/>
    <x v="3"/>
    <n v="0"/>
    <s v="USD"/>
    <n v="0"/>
    <n v="45292"/>
    <x v="0"/>
    <n v="1"/>
    <x v="0"/>
    <n v="1"/>
    <s v="Понедельник"/>
  </r>
  <r>
    <n v="6"/>
    <n v="20240101"/>
    <n v="1"/>
    <n v="5"/>
    <n v="1"/>
    <n v="20000"/>
    <n v="1050.5"/>
    <n v="21010000"/>
    <n v="7.2"/>
    <s v="Физическое лицо"/>
    <x v="4"/>
    <s v="Кузнецов Дмитрий Сергеевич"/>
    <x v="0"/>
    <x v="3"/>
    <s v="RU000A0JXYF1"/>
    <x v="0"/>
    <n v="1000"/>
    <s v="RUB"/>
    <n v="47848"/>
    <x v="0"/>
    <x v="0"/>
    <x v="0"/>
    <n v="1000"/>
    <s v="RUB"/>
    <n v="47848"/>
    <n v="45292"/>
    <x v="0"/>
    <n v="1"/>
    <x v="0"/>
    <n v="1"/>
    <s v="Понедельник"/>
  </r>
  <r>
    <n v="7"/>
    <n v="20240115"/>
    <n v="1"/>
    <n v="1"/>
    <n v="1"/>
    <n v="12000"/>
    <n v="1055.3"/>
    <n v="12663600"/>
    <n v="7.5"/>
    <s v="Физическое лицо"/>
    <x v="0"/>
    <s v="Иванов Алексей Петрович"/>
    <x v="0"/>
    <x v="0"/>
    <s v="RU000A0JXYF1"/>
    <x v="0"/>
    <n v="1000"/>
    <s v="RUB"/>
    <n v="47848"/>
    <x v="0"/>
    <x v="0"/>
    <x v="0"/>
    <n v="1000"/>
    <s v="RUB"/>
    <n v="47848"/>
    <n v="45306"/>
    <x v="0"/>
    <n v="1"/>
    <x v="0"/>
    <n v="15"/>
    <s v="Понедельник"/>
  </r>
  <r>
    <n v="8"/>
    <n v="20240115"/>
    <n v="2"/>
    <n v="2"/>
    <n v="2"/>
    <n v="52000"/>
    <n v="2115.1999999999998"/>
    <n v="109990400"/>
    <n v="8.8000000000000007"/>
    <s v="Юридическое лицо"/>
    <x v="1"/>
    <s v="ООО &quot;ИнвестПро&quot;"/>
    <x v="1"/>
    <x v="1"/>
    <s v="RU000A0JX0F2"/>
    <x v="1"/>
    <n v="1000"/>
    <s v="RUB"/>
    <n v="46888"/>
    <x v="1"/>
    <x v="1"/>
    <x v="1"/>
    <n v="1000"/>
    <s v="RUB"/>
    <n v="46888"/>
    <n v="45306"/>
    <x v="0"/>
    <n v="1"/>
    <x v="0"/>
    <n v="15"/>
    <s v="Понедельник"/>
  </r>
  <r>
    <n v="9"/>
    <n v="20240201"/>
    <n v="3"/>
    <n v="3"/>
    <n v="3"/>
    <n v="8500"/>
    <n v="190.5"/>
    <n v="1619250"/>
    <n v="13.1"/>
    <s v="Физическое лицо"/>
    <x v="2"/>
    <s v="Смирнова Мария Игоревна"/>
    <x v="2"/>
    <x v="2"/>
    <s v="US0378331005"/>
    <x v="2"/>
    <n v="0"/>
    <s v="USD"/>
    <n v="0"/>
    <x v="2"/>
    <x v="2"/>
    <x v="2"/>
    <n v="0"/>
    <s v="USD"/>
    <n v="0"/>
    <n v="45293"/>
    <x v="0"/>
    <n v="1"/>
    <x v="1"/>
    <n v="1"/>
    <s v="Четверг"/>
  </r>
  <r>
    <n v="10"/>
    <n v="20240201"/>
    <n v="4"/>
    <n v="4"/>
    <n v="4"/>
    <n v="16000"/>
    <n v="3225.5"/>
    <n v="51608000"/>
    <n v="7.2"/>
    <s v="Юридическое лицо"/>
    <x v="3"/>
    <s v="АО &quot;КапиталТраст&quot;"/>
    <x v="1"/>
    <x v="0"/>
    <s v="US5949181045"/>
    <x v="3"/>
    <n v="0"/>
    <s v="USD"/>
    <n v="0"/>
    <x v="2"/>
    <x v="3"/>
    <x v="3"/>
    <n v="0"/>
    <s v="USD"/>
    <n v="0"/>
    <n v="45293"/>
    <x v="0"/>
    <n v="1"/>
    <x v="1"/>
    <n v="1"/>
    <s v="Четверг"/>
  </r>
  <r>
    <n v="11"/>
    <n v="20240215"/>
    <n v="1"/>
    <n v="5"/>
    <n v="1"/>
    <n v="22000"/>
    <n v="1062.75"/>
    <n v="23380500"/>
    <n v="7.9"/>
    <s v="Физическое лицо"/>
    <x v="4"/>
    <s v="Кузнецов Дмитрий Сергеевич"/>
    <x v="0"/>
    <x v="3"/>
    <s v="RU000A0JXYF1"/>
    <x v="0"/>
    <n v="1000"/>
    <s v="RUB"/>
    <n v="47848"/>
    <x v="0"/>
    <x v="0"/>
    <x v="0"/>
    <n v="1000"/>
    <s v="RUB"/>
    <n v="47848"/>
    <n v="45337"/>
    <x v="0"/>
    <n v="1"/>
    <x v="1"/>
    <n v="15"/>
    <s v="Четверг"/>
  </r>
  <r>
    <n v="12"/>
    <n v="20240215"/>
    <n v="2"/>
    <n v="1"/>
    <n v="2"/>
    <n v="53000"/>
    <n v="2128.9"/>
    <n v="112831700"/>
    <n v="9.1"/>
    <s v="Физическое лицо"/>
    <x v="0"/>
    <s v="Иванов Алексей Петрович"/>
    <x v="0"/>
    <x v="0"/>
    <s v="RU000A0JX0F2"/>
    <x v="1"/>
    <n v="1000"/>
    <s v="RUB"/>
    <n v="46888"/>
    <x v="1"/>
    <x v="1"/>
    <x v="1"/>
    <n v="1000"/>
    <s v="RUB"/>
    <n v="46888"/>
    <n v="45337"/>
    <x v="0"/>
    <n v="1"/>
    <x v="1"/>
    <n v="15"/>
    <s v="Четверг"/>
  </r>
  <r>
    <n v="13"/>
    <n v="20240301"/>
    <n v="3"/>
    <n v="2"/>
    <n v="3"/>
    <n v="9000"/>
    <n v="195.75"/>
    <n v="1761750"/>
    <n v="13.8"/>
    <s v="Юридическое лицо"/>
    <x v="1"/>
    <s v="ООО &quot;ИнвестПро&quot;"/>
    <x v="1"/>
    <x v="1"/>
    <s v="US0378331005"/>
    <x v="2"/>
    <n v="0"/>
    <s v="USD"/>
    <n v="0"/>
    <x v="2"/>
    <x v="2"/>
    <x v="2"/>
    <n v="0"/>
    <s v="USD"/>
    <n v="0"/>
    <n v="45294"/>
    <x v="0"/>
    <n v="1"/>
    <x v="2"/>
    <n v="1"/>
    <s v="Пятница"/>
  </r>
  <r>
    <n v="14"/>
    <n v="20240301"/>
    <n v="4"/>
    <n v="3"/>
    <n v="4"/>
    <n v="17000"/>
    <n v="3250"/>
    <n v="55250000"/>
    <n v="7.5"/>
    <s v="Физическое лицо"/>
    <x v="2"/>
    <s v="Смирнова Мария Игоревна"/>
    <x v="2"/>
    <x v="2"/>
    <s v="US5949181045"/>
    <x v="3"/>
    <n v="0"/>
    <s v="USD"/>
    <n v="0"/>
    <x v="2"/>
    <x v="3"/>
    <x v="3"/>
    <n v="0"/>
    <s v="USD"/>
    <n v="0"/>
    <n v="45294"/>
    <x v="0"/>
    <n v="1"/>
    <x v="2"/>
    <n v="1"/>
    <s v="Пятница"/>
  </r>
  <r>
    <n v="15"/>
    <n v="20240315"/>
    <n v="1"/>
    <n v="4"/>
    <n v="1"/>
    <n v="25000"/>
    <n v="1070.2"/>
    <n v="26755000"/>
    <n v="8.1999999999999993"/>
    <s v="Юридическое лицо"/>
    <x v="3"/>
    <s v="АО &quot;КапиталТраст&quot;"/>
    <x v="1"/>
    <x v="0"/>
    <s v="RU000A0JXYF1"/>
    <x v="0"/>
    <n v="1000"/>
    <s v="RUB"/>
    <n v="47848"/>
    <x v="0"/>
    <x v="0"/>
    <x v="0"/>
    <n v="1000"/>
    <s v="RUB"/>
    <n v="47848"/>
    <n v="45366"/>
    <x v="0"/>
    <n v="1"/>
    <x v="2"/>
    <n v="15"/>
    <s v="Пятница"/>
  </r>
  <r>
    <n v="16"/>
    <n v="20240315"/>
    <n v="2"/>
    <n v="5"/>
    <n v="2"/>
    <n v="55000"/>
    <n v="2145.6"/>
    <n v="118008000"/>
    <n v="9.4"/>
    <s v="Физическое лицо"/>
    <x v="4"/>
    <s v="Кузнецов Дмитрий Сергеевич"/>
    <x v="0"/>
    <x v="3"/>
    <s v="RU000A0JX0F2"/>
    <x v="1"/>
    <n v="1000"/>
    <s v="RUB"/>
    <n v="46888"/>
    <x v="1"/>
    <x v="1"/>
    <x v="1"/>
    <n v="1000"/>
    <s v="RUB"/>
    <n v="46888"/>
    <n v="45366"/>
    <x v="0"/>
    <n v="1"/>
    <x v="2"/>
    <n v="15"/>
    <s v="Пятница"/>
  </r>
  <r>
    <n v="17"/>
    <n v="20240401"/>
    <n v="3"/>
    <n v="1"/>
    <n v="3"/>
    <n v="9500"/>
    <n v="200.3"/>
    <n v="1902850"/>
    <n v="14.5"/>
    <s v="Физическое лицо"/>
    <x v="0"/>
    <s v="Иванов Алексей Петрович"/>
    <x v="0"/>
    <x v="0"/>
    <s v="US0378331005"/>
    <x v="2"/>
    <n v="0"/>
    <s v="USD"/>
    <n v="0"/>
    <x v="2"/>
    <x v="2"/>
    <x v="2"/>
    <n v="0"/>
    <s v="USD"/>
    <n v="0"/>
    <n v="45295"/>
    <x v="0"/>
    <n v="2"/>
    <x v="3"/>
    <n v="1"/>
    <s v="Понедельник"/>
  </r>
  <r>
    <n v="18"/>
    <n v="20240401"/>
    <n v="4"/>
    <n v="2"/>
    <n v="4"/>
    <n v="18000"/>
    <n v="3280.25"/>
    <n v="59044500"/>
    <n v="7.8"/>
    <s v="Юридическое лицо"/>
    <x v="1"/>
    <s v="ООО &quot;ИнвестПро&quot;"/>
    <x v="1"/>
    <x v="1"/>
    <s v="US5949181045"/>
    <x v="3"/>
    <n v="0"/>
    <s v="USD"/>
    <n v="0"/>
    <x v="2"/>
    <x v="3"/>
    <x v="3"/>
    <n v="0"/>
    <s v="USD"/>
    <n v="0"/>
    <n v="45295"/>
    <x v="0"/>
    <n v="2"/>
    <x v="3"/>
    <n v="1"/>
    <s v="Понедельник"/>
  </r>
  <r>
    <n v="19"/>
    <n v="20240415"/>
    <n v="1"/>
    <n v="3"/>
    <n v="1"/>
    <n v="28000"/>
    <n v="1078.9000000000001"/>
    <n v="30209200"/>
    <n v="8.5"/>
    <s v="Физическое лицо"/>
    <x v="2"/>
    <s v="Смирнова Мария Игоревна"/>
    <x v="2"/>
    <x v="2"/>
    <s v="RU000A0JXYF1"/>
    <x v="0"/>
    <n v="1000"/>
    <s v="RUB"/>
    <n v="47848"/>
    <x v="0"/>
    <x v="0"/>
    <x v="0"/>
    <n v="1000"/>
    <s v="RUB"/>
    <n v="47848"/>
    <n v="45397"/>
    <x v="0"/>
    <n v="2"/>
    <x v="3"/>
    <n v="15"/>
    <s v="Понедельник"/>
  </r>
  <r>
    <n v="20"/>
    <n v="20240501"/>
    <n v="2"/>
    <n v="4"/>
    <n v="2"/>
    <n v="58000"/>
    <n v="2163.4"/>
    <n v="125477200"/>
    <n v="9.8000000000000007"/>
    <s v="Юридическое лицо"/>
    <x v="3"/>
    <s v="АО &quot;КапиталТраст&quot;"/>
    <x v="1"/>
    <x v="0"/>
    <s v="RU000A0JX0F2"/>
    <x v="1"/>
    <n v="1000"/>
    <s v="RUB"/>
    <n v="46888"/>
    <x v="1"/>
    <x v="1"/>
    <x v="1"/>
    <n v="1000"/>
    <s v="RUB"/>
    <n v="46888"/>
    <n v="45296"/>
    <x v="0"/>
    <n v="2"/>
    <x v="4"/>
    <n v="1"/>
    <s v="Среда"/>
  </r>
  <r>
    <n v="21"/>
    <n v="20240501"/>
    <n v="3"/>
    <n v="5"/>
    <n v="3"/>
    <n v="10000"/>
    <n v="205.8"/>
    <n v="2058000"/>
    <n v="15.2"/>
    <s v="Физическое лицо"/>
    <x v="4"/>
    <s v="Кузнецов Дмитрий Сергеевич"/>
    <x v="0"/>
    <x v="3"/>
    <s v="US0378331005"/>
    <x v="2"/>
    <n v="0"/>
    <s v="USD"/>
    <n v="0"/>
    <x v="2"/>
    <x v="2"/>
    <x v="2"/>
    <n v="0"/>
    <s v="USD"/>
    <n v="0"/>
    <n v="45296"/>
    <x v="0"/>
    <n v="2"/>
    <x v="4"/>
    <n v="1"/>
    <s v="Среда"/>
  </r>
  <r>
    <n v="22"/>
    <n v="20240515"/>
    <n v="4"/>
    <n v="1"/>
    <n v="4"/>
    <n v="20000"/>
    <n v="3315.75"/>
    <n v="66315000"/>
    <n v="8.1999999999999993"/>
    <s v="Физическое лицо"/>
    <x v="0"/>
    <s v="Иванов Алексей Петрович"/>
    <x v="0"/>
    <x v="0"/>
    <s v="US5949181045"/>
    <x v="3"/>
    <n v="0"/>
    <s v="USD"/>
    <n v="0"/>
    <x v="2"/>
    <x v="3"/>
    <x v="3"/>
    <n v="0"/>
    <s v="USD"/>
    <n v="0"/>
    <n v="45427"/>
    <x v="0"/>
    <n v="2"/>
    <x v="4"/>
    <n v="15"/>
    <s v="Среда"/>
  </r>
  <r>
    <n v="23"/>
    <n v="20240601"/>
    <n v="1"/>
    <n v="2"/>
    <n v="1"/>
    <n v="30000"/>
    <n v="1085.5999999999999"/>
    <n v="32568000"/>
    <n v="8.8000000000000007"/>
    <s v="Юридическое лицо"/>
    <x v="1"/>
    <s v="ООО &quot;ИнвестПро&quot;"/>
    <x v="1"/>
    <x v="1"/>
    <s v="RU000A0JXYF1"/>
    <x v="0"/>
    <n v="1000"/>
    <s v="RUB"/>
    <n v="47848"/>
    <x v="0"/>
    <x v="0"/>
    <x v="0"/>
    <n v="1000"/>
    <s v="RUB"/>
    <n v="47848"/>
    <n v="45297"/>
    <x v="0"/>
    <n v="2"/>
    <x v="5"/>
    <n v="1"/>
    <s v="Суббота"/>
  </r>
  <r>
    <n v="24"/>
    <n v="20240615"/>
    <n v="2"/>
    <n v="3"/>
    <n v="2"/>
    <n v="60000"/>
    <n v="2182.9"/>
    <n v="130974000"/>
    <n v="10.1"/>
    <s v="Физическое лицо"/>
    <x v="2"/>
    <s v="Смирнова Мария Игоревна"/>
    <x v="2"/>
    <x v="2"/>
    <s v="RU000A0JX0F2"/>
    <x v="1"/>
    <n v="1000"/>
    <s v="RUB"/>
    <n v="46888"/>
    <x v="1"/>
    <x v="1"/>
    <x v="1"/>
    <n v="1000"/>
    <s v="RUB"/>
    <n v="46888"/>
    <n v="45458"/>
    <x v="0"/>
    <n v="2"/>
    <x v="5"/>
    <n v="15"/>
    <s v="Суббота"/>
  </r>
  <r>
    <n v="25"/>
    <n v="20240701"/>
    <n v="3"/>
    <n v="4"/>
    <n v="3"/>
    <n v="11000"/>
    <n v="210.25"/>
    <n v="2312750"/>
    <n v="15.9"/>
    <s v="Юридическое лицо"/>
    <x v="3"/>
    <s v="АО &quot;КапиталТраст&quot;"/>
    <x v="1"/>
    <x v="0"/>
    <s v="US0378331005"/>
    <x v="2"/>
    <n v="0"/>
    <s v="USD"/>
    <n v="0"/>
    <x v="2"/>
    <x v="2"/>
    <x v="2"/>
    <n v="0"/>
    <s v="USD"/>
    <n v="0"/>
    <n v="45298"/>
    <x v="0"/>
    <n v="3"/>
    <x v="6"/>
    <n v="1"/>
    <s v="Понедельник"/>
  </r>
  <r>
    <n v="26"/>
    <n v="20240715"/>
    <n v="4"/>
    <n v="5"/>
    <n v="4"/>
    <n v="22000"/>
    <n v="3350"/>
    <n v="73700000"/>
    <n v="8.6"/>
    <s v="Физическое лицо"/>
    <x v="4"/>
    <s v="Кузнецов Дмитрий Сергеевич"/>
    <x v="0"/>
    <x v="3"/>
    <s v="US5949181045"/>
    <x v="3"/>
    <n v="0"/>
    <s v="USD"/>
    <n v="0"/>
    <x v="2"/>
    <x v="3"/>
    <x v="3"/>
    <n v="0"/>
    <s v="USD"/>
    <n v="0"/>
    <n v="45488"/>
    <x v="0"/>
    <n v="3"/>
    <x v="6"/>
    <n v="15"/>
    <s v="Понедельник"/>
  </r>
  <r>
    <n v="27"/>
    <n v="20240801"/>
    <n v="1"/>
    <n v="1"/>
    <n v="1"/>
    <n v="35000"/>
    <n v="1095.3"/>
    <n v="38335500"/>
    <n v="9.1999999999999993"/>
    <s v="Физическое лицо"/>
    <x v="0"/>
    <s v="Иванов Алексей Петрович"/>
    <x v="0"/>
    <x v="0"/>
    <s v="RU000A0JXYF1"/>
    <x v="0"/>
    <n v="1000"/>
    <s v="RUB"/>
    <n v="47848"/>
    <x v="0"/>
    <x v="0"/>
    <x v="0"/>
    <n v="1000"/>
    <s v="RUB"/>
    <n v="47848"/>
    <n v="45299"/>
    <x v="0"/>
    <n v="3"/>
    <x v="7"/>
    <n v="1"/>
    <s v="Четверг"/>
  </r>
  <r>
    <n v="28"/>
    <n v="20240815"/>
    <n v="2"/>
    <n v="2"/>
    <n v="2"/>
    <n v="62000"/>
    <n v="2205.4"/>
    <n v="136734800"/>
    <n v="10.5"/>
    <s v="Юридическое лицо"/>
    <x v="1"/>
    <s v="ООО &quot;ИнвестПро&quot;"/>
    <x v="1"/>
    <x v="1"/>
    <s v="RU000A0JX0F2"/>
    <x v="1"/>
    <n v="1000"/>
    <s v="RUB"/>
    <n v="46888"/>
    <x v="1"/>
    <x v="1"/>
    <x v="1"/>
    <n v="1000"/>
    <s v="RUB"/>
    <n v="46888"/>
    <n v="45519"/>
    <x v="0"/>
    <n v="3"/>
    <x v="7"/>
    <n v="15"/>
    <s v="Четверг"/>
  </r>
  <r>
    <n v="29"/>
    <n v="20240901"/>
    <n v="3"/>
    <n v="3"/>
    <n v="3"/>
    <n v="12000"/>
    <n v="215.9"/>
    <n v="2590800"/>
    <n v="16.5"/>
    <s v="Физическое лицо"/>
    <x v="2"/>
    <s v="Смирнова Мария Игоревна"/>
    <x v="2"/>
    <x v="2"/>
    <s v="US0378331005"/>
    <x v="2"/>
    <n v="0"/>
    <s v="USD"/>
    <n v="0"/>
    <x v="2"/>
    <x v="2"/>
    <x v="2"/>
    <n v="0"/>
    <s v="USD"/>
    <n v="0"/>
    <n v="45300"/>
    <x v="0"/>
    <n v="3"/>
    <x v="8"/>
    <n v="1"/>
    <s v="Воскресенье"/>
  </r>
  <r>
    <n v="30"/>
    <n v="20240915"/>
    <n v="4"/>
    <n v="4"/>
    <n v="4"/>
    <n v="24000"/>
    <n v="3385.25"/>
    <n v="81246000"/>
    <n v="9"/>
    <s v="Юридическое лицо"/>
    <x v="3"/>
    <s v="АО &quot;КапиталТраст&quot;"/>
    <x v="1"/>
    <x v="0"/>
    <s v="US5949181045"/>
    <x v="3"/>
    <n v="0"/>
    <s v="USD"/>
    <n v="0"/>
    <x v="2"/>
    <x v="3"/>
    <x v="3"/>
    <n v="0"/>
    <s v="USD"/>
    <n v="0"/>
    <n v="45550"/>
    <x v="0"/>
    <n v="3"/>
    <x v="8"/>
    <n v="15"/>
    <s v="Воскресенье"/>
  </r>
  <r>
    <n v="31"/>
    <n v="20241001"/>
    <n v="1"/>
    <n v="5"/>
    <n v="1"/>
    <n v="40000"/>
    <n v="1108.75"/>
    <n v="44350000"/>
    <n v="9.8000000000000007"/>
    <s v="Физическое лицо"/>
    <x v="4"/>
    <s v="Кузнецов Дмитрий Сергеевич"/>
    <x v="0"/>
    <x v="3"/>
    <s v="RU000A0JXYF1"/>
    <x v="0"/>
    <n v="1000"/>
    <s v="RUB"/>
    <n v="47848"/>
    <x v="0"/>
    <x v="0"/>
    <x v="0"/>
    <n v="1000"/>
    <s v="RUB"/>
    <n v="47848"/>
    <n v="45301"/>
    <x v="0"/>
    <n v="4"/>
    <x v="9"/>
    <n v="1"/>
    <s v="Вторник"/>
  </r>
  <r>
    <n v="32"/>
    <n v="20241015"/>
    <n v="2"/>
    <n v="1"/>
    <n v="2"/>
    <n v="65000"/>
    <n v="2228.6"/>
    <n v="144859000"/>
    <n v="11"/>
    <s v="Физическое лицо"/>
    <x v="0"/>
    <s v="Иванов Алексей Петрович"/>
    <x v="0"/>
    <x v="0"/>
    <s v="RU000A0JX0F2"/>
    <x v="1"/>
    <n v="1000"/>
    <s v="RUB"/>
    <n v="46888"/>
    <x v="1"/>
    <x v="1"/>
    <x v="1"/>
    <n v="1000"/>
    <s v="RUB"/>
    <n v="46888"/>
    <n v="45580"/>
    <x v="0"/>
    <n v="4"/>
    <x v="9"/>
    <n v="15"/>
    <s v="Вторник"/>
  </r>
  <r>
    <n v="33"/>
    <n v="20241101"/>
    <n v="3"/>
    <n v="2"/>
    <n v="3"/>
    <n v="13000"/>
    <n v="221.5"/>
    <n v="2879500"/>
    <n v="17.2"/>
    <s v="Юридическое лицо"/>
    <x v="1"/>
    <s v="ООО &quot;ИнвестПро&quot;"/>
    <x v="1"/>
    <x v="1"/>
    <s v="US0378331005"/>
    <x v="2"/>
    <n v="0"/>
    <s v="USD"/>
    <n v="0"/>
    <x v="2"/>
    <x v="2"/>
    <x v="2"/>
    <n v="0"/>
    <s v="USD"/>
    <n v="0"/>
    <n v="45302"/>
    <x v="0"/>
    <n v="4"/>
    <x v="10"/>
    <n v="1"/>
    <s v="Пятница"/>
  </r>
  <r>
    <n v="34"/>
    <n v="20241115"/>
    <n v="4"/>
    <n v="3"/>
    <n v="4"/>
    <n v="26000"/>
    <n v="3420.8"/>
    <n v="88940800"/>
    <n v="9.5"/>
    <s v="Физическое лицо"/>
    <x v="2"/>
    <s v="Смирнова Мария Игоревна"/>
    <x v="2"/>
    <x v="2"/>
    <s v="US5949181045"/>
    <x v="3"/>
    <n v="0"/>
    <s v="USD"/>
    <n v="0"/>
    <x v="2"/>
    <x v="3"/>
    <x v="3"/>
    <n v="0"/>
    <s v="USD"/>
    <n v="0"/>
    <n v="45611"/>
    <x v="0"/>
    <n v="4"/>
    <x v="10"/>
    <n v="15"/>
    <s v="Пятница"/>
  </r>
  <r>
    <n v="35"/>
    <n v="20241201"/>
    <n v="1"/>
    <n v="4"/>
    <n v="1"/>
    <n v="45000"/>
    <n v="1125.4000000000001"/>
    <n v="50643000"/>
    <n v="10.199999999999999"/>
    <s v="Юридическое лицо"/>
    <x v="3"/>
    <s v="АО &quot;КапиталТраст&quot;"/>
    <x v="1"/>
    <x v="0"/>
    <s v="RU000A0JXYF1"/>
    <x v="0"/>
    <n v="1000"/>
    <s v="RUB"/>
    <n v="47848"/>
    <x v="0"/>
    <x v="0"/>
    <x v="0"/>
    <n v="1000"/>
    <s v="RUB"/>
    <n v="47848"/>
    <n v="45303"/>
    <x v="0"/>
    <n v="4"/>
    <x v="11"/>
    <n v="1"/>
    <s v="Воскресенье"/>
  </r>
  <r>
    <n v="36"/>
    <n v="20241215"/>
    <n v="2"/>
    <n v="5"/>
    <n v="2"/>
    <n v="68000"/>
    <n v="2253.9"/>
    <n v="153265200"/>
    <n v="11.5"/>
    <s v="Физическое лицо"/>
    <x v="4"/>
    <s v="Кузнецов Дмитрий Сергеевич"/>
    <x v="0"/>
    <x v="3"/>
    <s v="RU000A0JX0F2"/>
    <x v="1"/>
    <n v="1000"/>
    <s v="RUB"/>
    <n v="46888"/>
    <x v="1"/>
    <x v="1"/>
    <x v="1"/>
    <n v="1000"/>
    <s v="RUB"/>
    <n v="46888"/>
    <n v="45641"/>
    <x v="0"/>
    <n v="4"/>
    <x v="11"/>
    <n v="15"/>
    <s v="Воскресенье"/>
  </r>
  <r>
    <n v="37"/>
    <n v="20241215"/>
    <n v="3"/>
    <n v="1"/>
    <n v="3"/>
    <n v="14000"/>
    <n v="228.75"/>
    <n v="3202500"/>
    <n v="17.899999999999999"/>
    <s v="Физическое лицо"/>
    <x v="0"/>
    <s v="Иванов Алексей Петрович"/>
    <x v="0"/>
    <x v="0"/>
    <s v="US0378331005"/>
    <x v="2"/>
    <n v="0"/>
    <s v="USD"/>
    <n v="0"/>
    <x v="2"/>
    <x v="2"/>
    <x v="2"/>
    <n v="0"/>
    <s v="USD"/>
    <n v="0"/>
    <n v="45641"/>
    <x v="0"/>
    <n v="4"/>
    <x v="11"/>
    <n v="15"/>
    <s v="Воскресенье"/>
  </r>
  <r>
    <n v="38"/>
    <n v="20241215"/>
    <n v="4"/>
    <n v="2"/>
    <n v="4"/>
    <n v="28000"/>
    <n v="3460.25"/>
    <n v="96887000"/>
    <n v="10"/>
    <s v="Юридическое лицо"/>
    <x v="1"/>
    <s v="ООО &quot;ИнвестПро&quot;"/>
    <x v="1"/>
    <x v="1"/>
    <s v="US5949181045"/>
    <x v="3"/>
    <n v="0"/>
    <s v="USD"/>
    <n v="0"/>
    <x v="2"/>
    <x v="3"/>
    <x v="3"/>
    <n v="0"/>
    <s v="USD"/>
    <n v="0"/>
    <n v="45641"/>
    <x v="0"/>
    <n v="4"/>
    <x v="11"/>
    <n v="15"/>
    <s v="Воскресенье"/>
  </r>
  <r>
    <n v="39"/>
    <n v="20241215"/>
    <n v="1"/>
    <n v="3"/>
    <n v="1"/>
    <n v="50000"/>
    <n v="1142.8"/>
    <n v="57140000"/>
    <n v="10.8"/>
    <s v="Физическое лицо"/>
    <x v="2"/>
    <s v="Смирнова Мария Игоревна"/>
    <x v="2"/>
    <x v="2"/>
    <s v="RU000A0JXYF1"/>
    <x v="0"/>
    <n v="1000"/>
    <s v="RUB"/>
    <n v="47848"/>
    <x v="0"/>
    <x v="0"/>
    <x v="0"/>
    <n v="1000"/>
    <s v="RUB"/>
    <n v="47848"/>
    <n v="45641"/>
    <x v="0"/>
    <n v="4"/>
    <x v="11"/>
    <n v="15"/>
    <s v="Воскресенье"/>
  </r>
  <r>
    <n v="40"/>
    <n v="20241215"/>
    <n v="2"/>
    <n v="4"/>
    <n v="2"/>
    <n v="70000"/>
    <n v="2280.5"/>
    <n v="159635000"/>
    <n v="12"/>
    <s v="Юридическое лицо"/>
    <x v="3"/>
    <s v="АО &quot;КапиталТраст&quot;"/>
    <x v="1"/>
    <x v="0"/>
    <s v="RU000A0JX0F2"/>
    <x v="1"/>
    <n v="1000"/>
    <s v="RUB"/>
    <n v="46888"/>
    <x v="1"/>
    <x v="1"/>
    <x v="1"/>
    <n v="1000"/>
    <s v="RUB"/>
    <n v="46888"/>
    <n v="45641"/>
    <x v="0"/>
    <n v="4"/>
    <x v="11"/>
    <n v="15"/>
    <s v="Воскресенье"/>
  </r>
  <r>
    <n v="41"/>
    <n v="20240101"/>
    <n v="1"/>
    <n v="1"/>
    <n v="1"/>
    <n v="10000"/>
    <n v="1050.5"/>
    <n v="10505000"/>
    <n v="7.2"/>
    <s v="Физическое лицо"/>
    <x v="0"/>
    <s v="Иванов Алексей Петрович"/>
    <x v="0"/>
    <x v="0"/>
    <s v="RU000A0JXYF1"/>
    <x v="0"/>
    <n v="1000"/>
    <s v="RUB"/>
    <n v="47848"/>
    <x v="0"/>
    <x v="0"/>
    <x v="0"/>
    <n v="1000"/>
    <s v="RUB"/>
    <n v="47848"/>
    <n v="45292"/>
    <x v="0"/>
    <n v="1"/>
    <x v="0"/>
    <n v="1"/>
    <s v="Понедельник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1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 rowHeaderCaption="№ месяца" colHeaderCaption="Название фонда">
  <location ref="A5:K20" firstHeaderRow="1" firstDataRow="3" firstDataCol="1" rowPageCount="2" colPageCount="1"/>
  <pivotFields count="31">
    <pivotField showAll="0"/>
    <pivotField showAll="0"/>
    <pivotField showAll="0"/>
    <pivotField showAll="0"/>
    <pivotField showAll="0"/>
    <pivotField dataField="1" numFmtId="4" showAll="0"/>
    <pivotField numFmtId="4" showAll="0"/>
    <pivotField dataField="1" numFmtId="4"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2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-2"/>
    <field x="21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pageFields count="2">
    <pageField fld="26" item="0" hier="-1"/>
    <pageField fld="12" hier="-1"/>
  </pageFields>
  <dataFields count="2">
    <dataField name="Сумма по полю СЧА" fld="7" baseField="0" baseItem="0"/>
    <dataField name="Сумма по полю КоличествоПаев" fld="5" baseField="0" baseItem="0"/>
  </dataFields>
  <formats count="2">
    <format dxfId="3">
      <pivotArea dataOnly="0" labelOnly="1" fieldPosition="0">
        <references count="2">
          <reference field="4294967294" count="1" selected="0">
            <x v="0"/>
          </reference>
          <reference field="21" count="0"/>
        </references>
      </pivotArea>
    </format>
    <format dxfId="2">
      <pivotArea dataOnly="0" labelOnly="1" fieldPosition="0">
        <references count="2">
          <reference field="4294967294" count="1" selected="0">
            <x v="1"/>
          </reference>
          <reference field="21" count="0"/>
        </references>
      </pivotArea>
    </format>
  </formats>
  <chartFormats count="10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2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2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21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21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20"/>
  <sheetViews>
    <sheetView tabSelected="1" workbookViewId="0">
      <selection activeCell="M23" sqref="M23"/>
    </sheetView>
  </sheetViews>
  <sheetFormatPr defaultRowHeight="12.75"/>
  <cols>
    <col min="1" max="1" width="20.7109375" customWidth="1"/>
    <col min="2" max="2" width="22.42578125" bestFit="1" customWidth="1"/>
    <col min="3" max="3" width="11.5703125" customWidth="1"/>
    <col min="4" max="4" width="12.7109375" bestFit="1" customWidth="1"/>
    <col min="5" max="5" width="11.5703125" bestFit="1" customWidth="1"/>
    <col min="6" max="6" width="36.5703125" bestFit="1" customWidth="1"/>
    <col min="7" max="9" width="8.140625" bestFit="1" customWidth="1"/>
    <col min="10" max="10" width="28.140625" bestFit="1" customWidth="1"/>
    <col min="11" max="11" width="42.42578125" bestFit="1" customWidth="1"/>
  </cols>
  <sheetData>
    <row r="2" spans="1:11">
      <c r="A2" s="3" t="s">
        <v>74</v>
      </c>
      <c r="B2" s="4">
        <v>2024</v>
      </c>
    </row>
    <row r="3" spans="1:11">
      <c r="A3" s="3" t="s">
        <v>52</v>
      </c>
      <c r="B3" t="s">
        <v>86</v>
      </c>
    </row>
    <row r="5" spans="1:11">
      <c r="B5" s="3" t="s">
        <v>92</v>
      </c>
    </row>
    <row r="6" spans="1:11">
      <c r="B6" t="s">
        <v>88</v>
      </c>
      <c r="F6" t="s">
        <v>91</v>
      </c>
      <c r="J6" t="s">
        <v>89</v>
      </c>
      <c r="K6" t="s">
        <v>90</v>
      </c>
    </row>
    <row r="7" spans="1:11" ht="96.75">
      <c r="A7" s="3" t="s">
        <v>93</v>
      </c>
      <c r="B7" s="6" t="s">
        <v>25</v>
      </c>
      <c r="C7" s="6" t="s">
        <v>29</v>
      </c>
      <c r="D7" s="6" t="s">
        <v>22</v>
      </c>
      <c r="E7" s="6" t="s">
        <v>18</v>
      </c>
      <c r="F7" s="6" t="s">
        <v>25</v>
      </c>
      <c r="G7" s="6" t="s">
        <v>29</v>
      </c>
      <c r="H7" s="6" t="s">
        <v>22</v>
      </c>
      <c r="I7" s="6" t="s">
        <v>18</v>
      </c>
    </row>
    <row r="8" spans="1:11">
      <c r="A8" s="4">
        <v>1</v>
      </c>
      <c r="B8" s="5">
        <v>1482000</v>
      </c>
      <c r="C8" s="5">
        <v>48000000</v>
      </c>
      <c r="D8" s="5">
        <v>215027900</v>
      </c>
      <c r="E8" s="5">
        <v>54683600</v>
      </c>
      <c r="F8" s="5">
        <v>8000</v>
      </c>
      <c r="G8" s="5">
        <v>15000</v>
      </c>
      <c r="H8" s="5">
        <v>102000</v>
      </c>
      <c r="I8" s="5">
        <v>52000</v>
      </c>
      <c r="J8" s="5">
        <v>319193500</v>
      </c>
      <c r="K8" s="5">
        <v>177000</v>
      </c>
    </row>
    <row r="9" spans="1:11">
      <c r="A9" s="4">
        <v>2</v>
      </c>
      <c r="B9" s="5">
        <v>1619250</v>
      </c>
      <c r="C9" s="5">
        <v>51608000</v>
      </c>
      <c r="D9" s="5">
        <v>112831700</v>
      </c>
      <c r="E9" s="5">
        <v>23380500</v>
      </c>
      <c r="F9" s="5">
        <v>8500</v>
      </c>
      <c r="G9" s="5">
        <v>16000</v>
      </c>
      <c r="H9" s="5">
        <v>53000</v>
      </c>
      <c r="I9" s="5">
        <v>22000</v>
      </c>
      <c r="J9" s="5">
        <v>189439450</v>
      </c>
      <c r="K9" s="5">
        <v>99500</v>
      </c>
    </row>
    <row r="10" spans="1:11">
      <c r="A10" s="4">
        <v>3</v>
      </c>
      <c r="B10" s="5">
        <v>1761750</v>
      </c>
      <c r="C10" s="5">
        <v>55250000</v>
      </c>
      <c r="D10" s="5">
        <v>118008000</v>
      </c>
      <c r="E10" s="5">
        <v>26755000</v>
      </c>
      <c r="F10" s="5">
        <v>9000</v>
      </c>
      <c r="G10" s="5">
        <v>17000</v>
      </c>
      <c r="H10" s="5">
        <v>55000</v>
      </c>
      <c r="I10" s="5">
        <v>25000</v>
      </c>
      <c r="J10" s="5">
        <v>201774750</v>
      </c>
      <c r="K10" s="5">
        <v>106000</v>
      </c>
    </row>
    <row r="11" spans="1:11">
      <c r="A11" s="4">
        <v>4</v>
      </c>
      <c r="B11" s="5">
        <v>1902850</v>
      </c>
      <c r="C11" s="5">
        <v>59044500</v>
      </c>
      <c r="D11" s="5"/>
      <c r="E11" s="5">
        <v>30209200</v>
      </c>
      <c r="F11" s="5">
        <v>9500</v>
      </c>
      <c r="G11" s="5">
        <v>18000</v>
      </c>
      <c r="H11" s="5"/>
      <c r="I11" s="5">
        <v>28000</v>
      </c>
      <c r="J11" s="5">
        <v>91156550</v>
      </c>
      <c r="K11" s="5">
        <v>55500</v>
      </c>
    </row>
    <row r="12" spans="1:11">
      <c r="A12" s="4">
        <v>5</v>
      </c>
      <c r="B12" s="5">
        <v>2058000</v>
      </c>
      <c r="C12" s="5">
        <v>66315000</v>
      </c>
      <c r="D12" s="5">
        <v>125477200</v>
      </c>
      <c r="E12" s="5"/>
      <c r="F12" s="5">
        <v>10000</v>
      </c>
      <c r="G12" s="5">
        <v>20000</v>
      </c>
      <c r="H12" s="5">
        <v>58000</v>
      </c>
      <c r="I12" s="5"/>
      <c r="J12" s="5">
        <v>193850200</v>
      </c>
      <c r="K12" s="5">
        <v>88000</v>
      </c>
    </row>
    <row r="13" spans="1:11">
      <c r="A13" s="4">
        <v>6</v>
      </c>
      <c r="B13" s="5"/>
      <c r="C13" s="5"/>
      <c r="D13" s="5">
        <v>130974000</v>
      </c>
      <c r="E13" s="5">
        <v>32568000</v>
      </c>
      <c r="F13" s="5"/>
      <c r="G13" s="5"/>
      <c r="H13" s="5">
        <v>60000</v>
      </c>
      <c r="I13" s="5">
        <v>30000</v>
      </c>
      <c r="J13" s="5">
        <v>163542000</v>
      </c>
      <c r="K13" s="5">
        <v>90000</v>
      </c>
    </row>
    <row r="14" spans="1:11">
      <c r="A14" s="4">
        <v>7</v>
      </c>
      <c r="B14" s="5">
        <v>2312750</v>
      </c>
      <c r="C14" s="5">
        <v>73700000</v>
      </c>
      <c r="D14" s="5"/>
      <c r="E14" s="5"/>
      <c r="F14" s="5">
        <v>11000</v>
      </c>
      <c r="G14" s="5">
        <v>22000</v>
      </c>
      <c r="H14" s="5"/>
      <c r="I14" s="5"/>
      <c r="J14" s="5">
        <v>76012750</v>
      </c>
      <c r="K14" s="5">
        <v>33000</v>
      </c>
    </row>
    <row r="15" spans="1:11">
      <c r="A15" s="4">
        <v>8</v>
      </c>
      <c r="B15" s="5"/>
      <c r="C15" s="5"/>
      <c r="D15" s="5">
        <v>136734800</v>
      </c>
      <c r="E15" s="5">
        <v>38335500</v>
      </c>
      <c r="F15" s="5"/>
      <c r="G15" s="5"/>
      <c r="H15" s="5">
        <v>62000</v>
      </c>
      <c r="I15" s="5">
        <v>35000</v>
      </c>
      <c r="J15" s="5">
        <v>175070300</v>
      </c>
      <c r="K15" s="5">
        <v>97000</v>
      </c>
    </row>
    <row r="16" spans="1:11">
      <c r="A16" s="4">
        <v>9</v>
      </c>
      <c r="B16" s="5">
        <v>2590800</v>
      </c>
      <c r="C16" s="5">
        <v>81246000</v>
      </c>
      <c r="D16" s="5"/>
      <c r="E16" s="5"/>
      <c r="F16" s="5">
        <v>12000</v>
      </c>
      <c r="G16" s="5">
        <v>24000</v>
      </c>
      <c r="H16" s="5"/>
      <c r="I16" s="5"/>
      <c r="J16" s="5">
        <v>83836800</v>
      </c>
      <c r="K16" s="5">
        <v>36000</v>
      </c>
    </row>
    <row r="17" spans="1:11">
      <c r="A17" s="4">
        <v>10</v>
      </c>
      <c r="B17" s="5"/>
      <c r="C17" s="5"/>
      <c r="D17" s="5">
        <v>144859000</v>
      </c>
      <c r="E17" s="5">
        <v>44350000</v>
      </c>
      <c r="F17" s="5"/>
      <c r="G17" s="5"/>
      <c r="H17" s="5">
        <v>65000</v>
      </c>
      <c r="I17" s="5">
        <v>40000</v>
      </c>
      <c r="J17" s="5">
        <v>189209000</v>
      </c>
      <c r="K17" s="5">
        <v>105000</v>
      </c>
    </row>
    <row r="18" spans="1:11">
      <c r="A18" s="4">
        <v>11</v>
      </c>
      <c r="B18" s="5">
        <v>2879500</v>
      </c>
      <c r="C18" s="5">
        <v>88940800</v>
      </c>
      <c r="D18" s="5"/>
      <c r="E18" s="5"/>
      <c r="F18" s="5">
        <v>13000</v>
      </c>
      <c r="G18" s="5">
        <v>26000</v>
      </c>
      <c r="H18" s="5"/>
      <c r="I18" s="5"/>
      <c r="J18" s="5">
        <v>91820300</v>
      </c>
      <c r="K18" s="5">
        <v>39000</v>
      </c>
    </row>
    <row r="19" spans="1:11">
      <c r="A19" s="4">
        <v>12</v>
      </c>
      <c r="B19" s="5">
        <v>3202500</v>
      </c>
      <c r="C19" s="5">
        <v>96887000</v>
      </c>
      <c r="D19" s="5">
        <v>312900200</v>
      </c>
      <c r="E19" s="5">
        <v>107783000</v>
      </c>
      <c r="F19" s="5">
        <v>14000</v>
      </c>
      <c r="G19" s="5">
        <v>28000</v>
      </c>
      <c r="H19" s="5">
        <v>138000</v>
      </c>
      <c r="I19" s="5">
        <v>95000</v>
      </c>
      <c r="J19" s="5">
        <v>520772700</v>
      </c>
      <c r="K19" s="5">
        <v>275000</v>
      </c>
    </row>
    <row r="20" spans="1:11">
      <c r="A20" s="4" t="s">
        <v>87</v>
      </c>
      <c r="B20" s="5">
        <v>19809400</v>
      </c>
      <c r="C20" s="5">
        <v>620991300</v>
      </c>
      <c r="D20" s="5">
        <v>1296812800</v>
      </c>
      <c r="E20" s="5">
        <v>358064800</v>
      </c>
      <c r="F20" s="5">
        <v>95000</v>
      </c>
      <c r="G20" s="5">
        <v>186000</v>
      </c>
      <c r="H20" s="5">
        <v>593000</v>
      </c>
      <c r="I20" s="5">
        <v>327000</v>
      </c>
      <c r="J20" s="5">
        <v>2295678300</v>
      </c>
      <c r="K20" s="5">
        <v>1201000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1"/>
  <sheetViews>
    <sheetView zoomScale="85" zoomScaleNormal="85" workbookViewId="0">
      <selection activeCell="AE1" sqref="A1:AE41"/>
    </sheetView>
  </sheetViews>
  <sheetFormatPr defaultRowHeight="12.75"/>
  <cols>
    <col min="8" max="8" width="13.42578125" bestFit="1" customWidth="1"/>
    <col min="10" max="10" width="19" bestFit="1" customWidth="1"/>
    <col min="11" max="11" width="13.140625" bestFit="1" customWidth="1"/>
    <col min="12" max="12" width="27" bestFit="1" customWidth="1"/>
    <col min="13" max="13" width="23.85546875" bestFit="1" customWidth="1"/>
    <col min="14" max="14" width="17.5703125" bestFit="1" customWidth="1"/>
    <col min="20" max="20" width="16.425781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</row>
    <row r="2" spans="1:31">
      <c r="A2">
        <v>1</v>
      </c>
      <c r="B2">
        <v>20240101</v>
      </c>
      <c r="C2">
        <v>1</v>
      </c>
      <c r="D2">
        <v>1</v>
      </c>
      <c r="E2">
        <v>1</v>
      </c>
      <c r="F2" s="1">
        <v>10000</v>
      </c>
      <c r="G2" s="1">
        <v>1050.5</v>
      </c>
      <c r="H2" s="1">
        <v>10505000</v>
      </c>
      <c r="I2">
        <v>7.2</v>
      </c>
      <c r="J2" t="str">
        <f>VLOOKUP($D2,Инвестор!$A$2:$F$6,COLUMN(Fact_Инвестиции!B2),0)</f>
        <v>Физическое лицо</v>
      </c>
      <c r="K2" t="str">
        <f>VLOOKUP($D2,Инвестор!$A$2:$F$6,COLUMN(Fact_Инвестиции!C2),0)</f>
        <v>770112345678</v>
      </c>
      <c r="L2" t="str">
        <f>VLOOKUP($D2,Инвестор!$A$2:$F$6,COLUMN(Fact_Инвестиции!D2),0)</f>
        <v>Иванов Алексей Петрович</v>
      </c>
      <c r="M2" t="str">
        <f>VLOOKUP($D2,Инвестор!$A$2:$F$6,COLUMN(Fact_Инвестиции!E2),0)</f>
        <v>Квалифицированный</v>
      </c>
      <c r="N2" t="str">
        <f>VLOOKUP($D2,Инвестор!$A$2:$F$6,COLUMN(Fact_Инвестиции!F2),0)</f>
        <v>Москва</v>
      </c>
      <c r="O2" t="str">
        <f>VLOOKUP($C2,Фонд!$A$2:$H$7,COLUMN(Fact_Инвестиции!B2),0)</f>
        <v>RU000A0JXYF1</v>
      </c>
      <c r="P2" t="str">
        <f>VLOOKUP($C2,Фонд!$A$2:$H$7,COLUMN(Fact_Инвестиции!C2),0)</f>
        <v>ОФЗ 26231</v>
      </c>
      <c r="Q2">
        <f>VLOOKUP($C2,Фонд!$A$2:$H$7,COLUMN(Fact_Инвестиции!D2),0)</f>
        <v>1000</v>
      </c>
      <c r="R2" t="str">
        <f>VLOOKUP($C2,Фонд!$A$2:$H$7,COLUMN(Fact_Инвестиции!E2),0)</f>
        <v>RUB</v>
      </c>
      <c r="S2">
        <f>VLOOKUP($C2,Фонд!$A$2:$H$7,COLUMN(Fact_Инвестиции!F2),0)</f>
        <v>47848</v>
      </c>
      <c r="T2" t="str">
        <f>VLOOKUP($C2,Фонд!$A$2:$H$7,COLUMN(Fact_Инвестиции!G2),0)</f>
        <v>Гос. облигация</v>
      </c>
      <c r="U2" t="str">
        <f>VLOOKUP($E2,Фонд!$A$2:$H$7,COLUMN(Fact_Инвестиции!B2),0)</f>
        <v>RU000A0JXYF1</v>
      </c>
      <c r="V2" t="str">
        <f>VLOOKUP($E2,Фонд!$A$2:$H$7,COLUMN(Fact_Инвестиции!C2),0)</f>
        <v>ОФЗ 26231</v>
      </c>
      <c r="W2">
        <f>VLOOKUP($E2,Фонд!$A$2:$H$7,COLUMN(Fact_Инвестиции!D2),0)</f>
        <v>1000</v>
      </c>
      <c r="X2" t="str">
        <f>VLOOKUP($E2,Фонд!$A$2:$H$7,COLUMN(Fact_Инвестиции!E2),0)</f>
        <v>RUB</v>
      </c>
      <c r="Y2">
        <f>VLOOKUP($E2,Фонд!$A$2:$H$7,COLUMN(Fact_Инвестиции!F2),0)</f>
        <v>47848</v>
      </c>
      <c r="Z2">
        <f>VLOOKUP($B2,Время!$A$2:$G$25,COLUMN(Fact_Инвестиции!B2),0)</f>
        <v>45292</v>
      </c>
      <c r="AA2">
        <f>VLOOKUP($B2,Время!$A$2:$G$25,COLUMN(Fact_Инвестиции!C2),0)</f>
        <v>2024</v>
      </c>
      <c r="AB2">
        <f>VLOOKUP($B2,Время!$A$2:$G$25,COLUMN(Fact_Инвестиции!D2),0)</f>
        <v>1</v>
      </c>
      <c r="AC2">
        <f>VLOOKUP($B2,Время!$A$2:$G$25,COLUMN(Fact_Инвестиции!E2),0)</f>
        <v>1</v>
      </c>
      <c r="AD2">
        <f>VLOOKUP($B2,Время!$A$2:$G$25,COLUMN(Fact_Инвестиции!F2),0)</f>
        <v>1</v>
      </c>
      <c r="AE2" t="str">
        <f>VLOOKUP($B2,Время!$A$2:$G$25,COLUMN(Fact_Инвестиции!G2),0)</f>
        <v>Понедельник</v>
      </c>
    </row>
    <row r="3" spans="1:31">
      <c r="A3">
        <v>2</v>
      </c>
      <c r="B3">
        <v>20240101</v>
      </c>
      <c r="C3">
        <v>2</v>
      </c>
      <c r="D3">
        <v>2</v>
      </c>
      <c r="E3">
        <v>2</v>
      </c>
      <c r="F3" s="1">
        <v>50000</v>
      </c>
      <c r="G3" s="1">
        <v>2100.75</v>
      </c>
      <c r="H3" s="1">
        <v>105037500</v>
      </c>
      <c r="I3">
        <v>8.5</v>
      </c>
      <c r="J3" t="str">
        <f>VLOOKUP($D3,Инвестор!$A$2:$F$6,COLUMN(Fact_Инвестиции!B3),0)</f>
        <v>Юридическое лицо</v>
      </c>
      <c r="K3" t="str">
        <f>VLOOKUP($D3,Инвестор!$A$2:$F$6,COLUMN(Fact_Инвестиции!C3),0)</f>
        <v>770198765432</v>
      </c>
      <c r="L3" t="str">
        <f>VLOOKUP($D3,Инвестор!$A$2:$F$6,COLUMN(Fact_Инвестиции!D3),0)</f>
        <v>ООО "ИнвестПро"</v>
      </c>
      <c r="M3" t="str">
        <f>VLOOKUP($D3,Инвестор!$A$2:$F$6,COLUMN(Fact_Инвестиции!E3),0)</f>
        <v>Профессиональный</v>
      </c>
      <c r="N3" t="str">
        <f>VLOOKUP($D3,Инвестор!$A$2:$F$6,COLUMN(Fact_Инвестиции!F3),0)</f>
        <v>Санкт-Петербург</v>
      </c>
      <c r="O3" t="str">
        <f>VLOOKUP($C3,Фонд!$A$2:$H$7,COLUMN(Fact_Инвестиции!B3),0)</f>
        <v>RU000A0JX0F2</v>
      </c>
      <c r="P3" t="str">
        <f>VLOOKUP($C3,Фонд!$A$2:$H$7,COLUMN(Fact_Инвестиции!C3),0)</f>
        <v>Газпромбанк-10</v>
      </c>
      <c r="Q3">
        <f>VLOOKUP($C3,Фонд!$A$2:$H$7,COLUMN(Fact_Инвестиции!D3),0)</f>
        <v>1000</v>
      </c>
      <c r="R3" t="str">
        <f>VLOOKUP($C3,Фонд!$A$2:$H$7,COLUMN(Fact_Инвестиции!E3),0)</f>
        <v>RUB</v>
      </c>
      <c r="S3">
        <f>VLOOKUP($C3,Фонд!$A$2:$H$7,COLUMN(Fact_Инвестиции!F3),0)</f>
        <v>46888</v>
      </c>
      <c r="T3" t="str">
        <f>VLOOKUP($C3,Фонд!$A$2:$H$7,COLUMN(Fact_Инвестиции!G3),0)</f>
        <v>Корп. облигация</v>
      </c>
      <c r="U3" t="str">
        <f>VLOOKUP($E3,Фонд!$A$2:$H$7,COLUMN(Fact_Инвестиции!B3),0)</f>
        <v>RU000A0JX0F2</v>
      </c>
      <c r="V3" t="str">
        <f>VLOOKUP($E3,Фонд!$A$2:$H$7,COLUMN(Fact_Инвестиции!C3),0)</f>
        <v>Газпромбанк-10</v>
      </c>
      <c r="W3">
        <f>VLOOKUP($E3,Фонд!$A$2:$H$7,COLUMN(Fact_Инвестиции!D3),0)</f>
        <v>1000</v>
      </c>
      <c r="X3" t="str">
        <f>VLOOKUP($E3,Фонд!$A$2:$H$7,COLUMN(Fact_Инвестиции!E3),0)</f>
        <v>RUB</v>
      </c>
      <c r="Y3">
        <f>VLOOKUP($E3,Фонд!$A$2:$H$7,COLUMN(Fact_Инвестиции!F3),0)</f>
        <v>46888</v>
      </c>
      <c r="Z3">
        <f>VLOOKUP($B3,Время!$A$2:$G$25,COLUMN(Fact_Инвестиции!B3),0)</f>
        <v>45292</v>
      </c>
      <c r="AA3">
        <f>VLOOKUP($B3,Время!$A$2:$G$25,COLUMN(Fact_Инвестиции!C3),0)</f>
        <v>2024</v>
      </c>
      <c r="AB3">
        <f>VLOOKUP($B3,Время!$A$2:$G$25,COLUMN(Fact_Инвестиции!D3),0)</f>
        <v>1</v>
      </c>
      <c r="AC3">
        <f>VLOOKUP($B3,Время!$A$2:$G$25,COLUMN(Fact_Инвестиции!E3),0)</f>
        <v>1</v>
      </c>
      <c r="AD3">
        <f>VLOOKUP($B3,Время!$A$2:$G$25,COLUMN(Fact_Инвестиции!F3),0)</f>
        <v>1</v>
      </c>
      <c r="AE3" t="str">
        <f>VLOOKUP($B3,Время!$A$2:$G$25,COLUMN(Fact_Инвестиции!G3),0)</f>
        <v>Понедельник</v>
      </c>
    </row>
    <row r="4" spans="1:31">
      <c r="A4">
        <v>3</v>
      </c>
      <c r="B4">
        <v>20240101</v>
      </c>
      <c r="C4">
        <v>3</v>
      </c>
      <c r="D4">
        <v>3</v>
      </c>
      <c r="E4">
        <v>3</v>
      </c>
      <c r="F4" s="1">
        <v>8000</v>
      </c>
      <c r="G4" s="1">
        <v>185.25</v>
      </c>
      <c r="H4" s="1">
        <v>1482000</v>
      </c>
      <c r="I4">
        <v>12.3</v>
      </c>
      <c r="J4" t="str">
        <f>VLOOKUP($D4,Инвестор!$A$2:$F$6,COLUMN(Fact_Инвестиции!B4),0)</f>
        <v>Физическое лицо</v>
      </c>
      <c r="K4" t="str">
        <f>VLOOKUP($D4,Инвестор!$A$2:$F$6,COLUMN(Fact_Инвестиции!C4),0)</f>
        <v>770123456789</v>
      </c>
      <c r="L4" t="str">
        <f>VLOOKUP($D4,Инвестор!$A$2:$F$6,COLUMN(Fact_Инвестиции!D4),0)</f>
        <v>Смирнова Мария Игоревна</v>
      </c>
      <c r="M4" t="str">
        <f>VLOOKUP($D4,Инвестор!$A$2:$F$6,COLUMN(Fact_Инвестиции!E4),0)</f>
        <v>Неквалифицированный</v>
      </c>
      <c r="N4" t="str">
        <f>VLOOKUP($D4,Инвестор!$A$2:$F$6,COLUMN(Fact_Инвестиции!F4),0)</f>
        <v>Новосибирск</v>
      </c>
      <c r="O4" t="str">
        <f>VLOOKUP($C4,Фонд!$A$2:$H$7,COLUMN(Fact_Инвестиции!B4),0)</f>
        <v>US0378331005</v>
      </c>
      <c r="P4" t="str">
        <f>VLOOKUP($C4,Фонд!$A$2:$H$7,COLUMN(Fact_Инвестиции!C4),0)</f>
        <v>Apple</v>
      </c>
      <c r="Q4">
        <f>VLOOKUP($C4,Фонд!$A$2:$H$7,COLUMN(Fact_Инвестиции!D4),0)</f>
        <v>0</v>
      </c>
      <c r="R4" t="str">
        <f>VLOOKUP($C4,Фонд!$A$2:$H$7,COLUMN(Fact_Инвестиции!E4),0)</f>
        <v>USD</v>
      </c>
      <c r="S4">
        <f>VLOOKUP($C4,Фонд!$A$2:$H$7,COLUMN(Fact_Инвестиции!F4),0)</f>
        <v>0</v>
      </c>
      <c r="T4" t="str">
        <f>VLOOKUP($C4,Фонд!$A$2:$H$7,COLUMN(Fact_Инвестиции!G4),0)</f>
        <v>Акция</v>
      </c>
      <c r="U4" t="str">
        <f>VLOOKUP($E4,Фонд!$A$2:$H$7,COLUMN(Fact_Инвестиции!B4),0)</f>
        <v>US0378331005</v>
      </c>
      <c r="V4" t="str">
        <f>VLOOKUP($E4,Фонд!$A$2:$H$7,COLUMN(Fact_Инвестиции!C4),0)</f>
        <v>Apple</v>
      </c>
      <c r="W4">
        <f>VLOOKUP($E4,Фонд!$A$2:$H$7,COLUMN(Fact_Инвестиции!D4),0)</f>
        <v>0</v>
      </c>
      <c r="X4" t="str">
        <f>VLOOKUP($E4,Фонд!$A$2:$H$7,COLUMN(Fact_Инвестиции!E4),0)</f>
        <v>USD</v>
      </c>
      <c r="Y4">
        <f>VLOOKUP($E4,Фонд!$A$2:$H$7,COLUMN(Fact_Инвестиции!F4),0)</f>
        <v>0</v>
      </c>
      <c r="Z4">
        <f>VLOOKUP($B4,Время!$A$2:$G$25,COLUMN(Fact_Инвестиции!B4),0)</f>
        <v>45292</v>
      </c>
      <c r="AA4">
        <f>VLOOKUP($B4,Время!$A$2:$G$25,COLUMN(Fact_Инвестиции!C4),0)</f>
        <v>2024</v>
      </c>
      <c r="AB4">
        <f>VLOOKUP($B4,Время!$A$2:$G$25,COLUMN(Fact_Инвестиции!D4),0)</f>
        <v>1</v>
      </c>
      <c r="AC4">
        <f>VLOOKUP($B4,Время!$A$2:$G$25,COLUMN(Fact_Инвестиции!E4),0)</f>
        <v>1</v>
      </c>
      <c r="AD4">
        <f>VLOOKUP($B4,Время!$A$2:$G$25,COLUMN(Fact_Инвестиции!F4),0)</f>
        <v>1</v>
      </c>
      <c r="AE4" t="str">
        <f>VLOOKUP($B4,Время!$A$2:$G$25,COLUMN(Fact_Инвестиции!G4),0)</f>
        <v>Понедельник</v>
      </c>
    </row>
    <row r="5" spans="1:31">
      <c r="A5">
        <v>5</v>
      </c>
      <c r="B5">
        <v>20240101</v>
      </c>
      <c r="C5">
        <v>4</v>
      </c>
      <c r="D5">
        <v>4</v>
      </c>
      <c r="E5">
        <v>4</v>
      </c>
      <c r="F5" s="1">
        <v>15000</v>
      </c>
      <c r="G5" s="1">
        <v>3200</v>
      </c>
      <c r="H5" s="1">
        <v>48000000</v>
      </c>
      <c r="I5">
        <v>6.8</v>
      </c>
      <c r="J5" t="str">
        <f>VLOOKUP($D5,Инвестор!$A$2:$F$6,COLUMN(Fact_Инвестиции!B5),0)</f>
        <v>Юридическое лицо</v>
      </c>
      <c r="K5" t="str">
        <f>VLOOKUP($D5,Инвестор!$A$2:$F$6,COLUMN(Fact_Инвестиции!C5),0)</f>
        <v>770187654321</v>
      </c>
      <c r="L5" t="str">
        <f>VLOOKUP($D5,Инвестор!$A$2:$F$6,COLUMN(Fact_Инвестиции!D5),0)</f>
        <v>АО "КапиталТраст"</v>
      </c>
      <c r="M5" t="str">
        <f>VLOOKUP($D5,Инвестор!$A$2:$F$6,COLUMN(Fact_Инвестиции!E5),0)</f>
        <v>Профессиональный</v>
      </c>
      <c r="N5" t="str">
        <f>VLOOKUP($D5,Инвестор!$A$2:$F$6,COLUMN(Fact_Инвестиции!F5),0)</f>
        <v>Москва</v>
      </c>
      <c r="O5" t="str">
        <f>VLOOKUP($C5,Фонд!$A$2:$H$7,COLUMN(Fact_Инвестиции!B5),0)</f>
        <v>US5949181045</v>
      </c>
      <c r="P5" t="str">
        <f>VLOOKUP($C5,Фонд!$A$2:$H$7,COLUMN(Fact_Инвестиции!C5),0)</f>
        <v>Microsoft</v>
      </c>
      <c r="Q5">
        <f>VLOOKUP($C5,Фонд!$A$2:$H$7,COLUMN(Fact_Инвестиции!D5),0)</f>
        <v>0</v>
      </c>
      <c r="R5" t="str">
        <f>VLOOKUP($C5,Фонд!$A$2:$H$7,COLUMN(Fact_Инвестиции!E5),0)</f>
        <v>USD</v>
      </c>
      <c r="S5">
        <f>VLOOKUP($C5,Фонд!$A$2:$H$7,COLUMN(Fact_Инвестиции!F5),0)</f>
        <v>0</v>
      </c>
      <c r="T5" t="str">
        <f>VLOOKUP($C5,Фонд!$A$2:$H$7,COLUMN(Fact_Инвестиции!G5),0)</f>
        <v>Акция</v>
      </c>
      <c r="U5" t="str">
        <f>VLOOKUP($E5,Фонд!$A$2:$H$7,COLUMN(Fact_Инвестиции!B5),0)</f>
        <v>US5949181045</v>
      </c>
      <c r="V5" t="str">
        <f>VLOOKUP($E5,Фонд!$A$2:$H$7,COLUMN(Fact_Инвестиции!C5),0)</f>
        <v>Microsoft</v>
      </c>
      <c r="W5">
        <f>VLOOKUP($E5,Фонд!$A$2:$H$7,COLUMN(Fact_Инвестиции!D5),0)</f>
        <v>0</v>
      </c>
      <c r="X5" t="str">
        <f>VLOOKUP($E5,Фонд!$A$2:$H$7,COLUMN(Fact_Инвестиции!E5),0)</f>
        <v>USD</v>
      </c>
      <c r="Y5">
        <f>VLOOKUP($E5,Фонд!$A$2:$H$7,COLUMN(Fact_Инвестиции!F5),0)</f>
        <v>0</v>
      </c>
      <c r="Z5">
        <f>VLOOKUP($B5,Время!$A$2:$G$25,COLUMN(Fact_Инвестиции!B5),0)</f>
        <v>45292</v>
      </c>
      <c r="AA5">
        <f>VLOOKUP($B5,Время!$A$2:$G$25,COLUMN(Fact_Инвестиции!C5),0)</f>
        <v>2024</v>
      </c>
      <c r="AB5">
        <f>VLOOKUP($B5,Время!$A$2:$G$25,COLUMN(Fact_Инвестиции!D5),0)</f>
        <v>1</v>
      </c>
      <c r="AC5">
        <f>VLOOKUP($B5,Время!$A$2:$G$25,COLUMN(Fact_Инвестиции!E5),0)</f>
        <v>1</v>
      </c>
      <c r="AD5">
        <f>VLOOKUP($B5,Время!$A$2:$G$25,COLUMN(Fact_Инвестиции!F5),0)</f>
        <v>1</v>
      </c>
      <c r="AE5" t="str">
        <f>VLOOKUP($B5,Время!$A$2:$G$25,COLUMN(Fact_Инвестиции!G5),0)</f>
        <v>Понедельник</v>
      </c>
    </row>
    <row r="6" spans="1:31">
      <c r="A6">
        <v>6</v>
      </c>
      <c r="B6">
        <v>20240101</v>
      </c>
      <c r="C6">
        <v>1</v>
      </c>
      <c r="D6">
        <v>5</v>
      </c>
      <c r="E6">
        <v>1</v>
      </c>
      <c r="F6" s="1">
        <v>20000</v>
      </c>
      <c r="G6" s="1">
        <v>1050.5</v>
      </c>
      <c r="H6" s="1">
        <v>21010000</v>
      </c>
      <c r="I6">
        <v>7.2</v>
      </c>
      <c r="J6" t="str">
        <f>VLOOKUP($D6,Инвестор!$A$2:$F$6,COLUMN(Fact_Инвестиции!B6),0)</f>
        <v>Физическое лицо</v>
      </c>
      <c r="K6" t="str">
        <f>VLOOKUP($D6,Инвестор!$A$2:$F$6,COLUMN(Fact_Инвестиции!C6),0)</f>
        <v>770134567890</v>
      </c>
      <c r="L6" t="str">
        <f>VLOOKUP($D6,Инвестор!$A$2:$F$6,COLUMN(Fact_Инвестиции!D6),0)</f>
        <v>Кузнецов Дмитрий Сергеевич</v>
      </c>
      <c r="M6" t="str">
        <f>VLOOKUP($D6,Инвестор!$A$2:$F$6,COLUMN(Fact_Инвестиции!E6),0)</f>
        <v>Квалифицированный</v>
      </c>
      <c r="N6" t="str">
        <f>VLOOKUP($D6,Инвестор!$A$2:$F$6,COLUMN(Fact_Инвестиции!F6),0)</f>
        <v>Екатеринбург</v>
      </c>
      <c r="O6" t="str">
        <f>VLOOKUP($C6,Фонд!$A$2:$H$7,COLUMN(Fact_Инвестиции!B6),0)</f>
        <v>RU000A0JXYF1</v>
      </c>
      <c r="P6" t="str">
        <f>VLOOKUP($C6,Фонд!$A$2:$H$7,COLUMN(Fact_Инвестиции!C6),0)</f>
        <v>ОФЗ 26231</v>
      </c>
      <c r="Q6">
        <f>VLOOKUP($C6,Фонд!$A$2:$H$7,COLUMN(Fact_Инвестиции!D6),0)</f>
        <v>1000</v>
      </c>
      <c r="R6" t="str">
        <f>VLOOKUP($C6,Фонд!$A$2:$H$7,COLUMN(Fact_Инвестиции!E6),0)</f>
        <v>RUB</v>
      </c>
      <c r="S6">
        <f>VLOOKUP($C6,Фонд!$A$2:$H$7,COLUMN(Fact_Инвестиции!F6),0)</f>
        <v>47848</v>
      </c>
      <c r="T6" t="str">
        <f>VLOOKUP($C6,Фонд!$A$2:$H$7,COLUMN(Fact_Инвестиции!G6),0)</f>
        <v>Гос. облигация</v>
      </c>
      <c r="U6" t="str">
        <f>VLOOKUP($E6,Фонд!$A$2:$H$7,COLUMN(Fact_Инвестиции!B6),0)</f>
        <v>RU000A0JXYF1</v>
      </c>
      <c r="V6" t="str">
        <f>VLOOKUP($E6,Фонд!$A$2:$H$7,COLUMN(Fact_Инвестиции!C6),0)</f>
        <v>ОФЗ 26231</v>
      </c>
      <c r="W6">
        <f>VLOOKUP($E6,Фонд!$A$2:$H$7,COLUMN(Fact_Инвестиции!D6),0)</f>
        <v>1000</v>
      </c>
      <c r="X6" t="str">
        <f>VLOOKUP($E6,Фонд!$A$2:$H$7,COLUMN(Fact_Инвестиции!E6),0)</f>
        <v>RUB</v>
      </c>
      <c r="Y6">
        <f>VLOOKUP($E6,Фонд!$A$2:$H$7,COLUMN(Fact_Инвестиции!F6),0)</f>
        <v>47848</v>
      </c>
      <c r="Z6">
        <f>VLOOKUP($B6,Время!$A$2:$G$25,COLUMN(Fact_Инвестиции!B6),0)</f>
        <v>45292</v>
      </c>
      <c r="AA6">
        <f>VLOOKUP($B6,Время!$A$2:$G$25,COLUMN(Fact_Инвестиции!C6),0)</f>
        <v>2024</v>
      </c>
      <c r="AB6">
        <f>VLOOKUP($B6,Время!$A$2:$G$25,COLUMN(Fact_Инвестиции!D6),0)</f>
        <v>1</v>
      </c>
      <c r="AC6">
        <f>VLOOKUP($B6,Время!$A$2:$G$25,COLUMN(Fact_Инвестиции!E6),0)</f>
        <v>1</v>
      </c>
      <c r="AD6">
        <f>VLOOKUP($B6,Время!$A$2:$G$25,COLUMN(Fact_Инвестиции!F6),0)</f>
        <v>1</v>
      </c>
      <c r="AE6" t="str">
        <f>VLOOKUP($B6,Время!$A$2:$G$25,COLUMN(Fact_Инвестиции!G6),0)</f>
        <v>Понедельник</v>
      </c>
    </row>
    <row r="7" spans="1:31">
      <c r="A7">
        <v>7</v>
      </c>
      <c r="B7">
        <v>20240115</v>
      </c>
      <c r="C7">
        <v>1</v>
      </c>
      <c r="D7">
        <v>1</v>
      </c>
      <c r="E7">
        <v>1</v>
      </c>
      <c r="F7" s="1">
        <v>12000</v>
      </c>
      <c r="G7" s="1">
        <v>1055.3</v>
      </c>
      <c r="H7" s="1">
        <v>12663600</v>
      </c>
      <c r="I7">
        <v>7.5</v>
      </c>
      <c r="J7" t="str">
        <f>VLOOKUP($D7,Инвестор!$A$2:$F$6,COLUMN(Fact_Инвестиции!B7),0)</f>
        <v>Физическое лицо</v>
      </c>
      <c r="K7" t="str">
        <f>VLOOKUP($D7,Инвестор!$A$2:$F$6,COLUMN(Fact_Инвестиции!C7),0)</f>
        <v>770112345678</v>
      </c>
      <c r="L7" t="str">
        <f>VLOOKUP($D7,Инвестор!$A$2:$F$6,COLUMN(Fact_Инвестиции!D7),0)</f>
        <v>Иванов Алексей Петрович</v>
      </c>
      <c r="M7" t="str">
        <f>VLOOKUP($D7,Инвестор!$A$2:$F$6,COLUMN(Fact_Инвестиции!E7),0)</f>
        <v>Квалифицированный</v>
      </c>
      <c r="N7" t="str">
        <f>VLOOKUP($D7,Инвестор!$A$2:$F$6,COLUMN(Fact_Инвестиции!F7),0)</f>
        <v>Москва</v>
      </c>
      <c r="O7" t="str">
        <f>VLOOKUP($C7,Фонд!$A$2:$H$7,COLUMN(Fact_Инвестиции!B7),0)</f>
        <v>RU000A0JXYF1</v>
      </c>
      <c r="P7" t="str">
        <f>VLOOKUP($C7,Фонд!$A$2:$H$7,COLUMN(Fact_Инвестиции!C7),0)</f>
        <v>ОФЗ 26231</v>
      </c>
      <c r="Q7">
        <f>VLOOKUP($C7,Фонд!$A$2:$H$7,COLUMN(Fact_Инвестиции!D7),0)</f>
        <v>1000</v>
      </c>
      <c r="R7" t="str">
        <f>VLOOKUP($C7,Фонд!$A$2:$H$7,COLUMN(Fact_Инвестиции!E7),0)</f>
        <v>RUB</v>
      </c>
      <c r="S7">
        <f>VLOOKUP($C7,Фонд!$A$2:$H$7,COLUMN(Fact_Инвестиции!F7),0)</f>
        <v>47848</v>
      </c>
      <c r="T7" t="str">
        <f>VLOOKUP($C7,Фонд!$A$2:$H$7,COLUMN(Fact_Инвестиции!G7),0)</f>
        <v>Гос. облигация</v>
      </c>
      <c r="U7" t="str">
        <f>VLOOKUP($E7,Фонд!$A$2:$H$7,COLUMN(Fact_Инвестиции!B7),0)</f>
        <v>RU000A0JXYF1</v>
      </c>
      <c r="V7" t="str">
        <f>VLOOKUP($E7,Фонд!$A$2:$H$7,COLUMN(Fact_Инвестиции!C7),0)</f>
        <v>ОФЗ 26231</v>
      </c>
      <c r="W7">
        <f>VLOOKUP($E7,Фонд!$A$2:$H$7,COLUMN(Fact_Инвестиции!D7),0)</f>
        <v>1000</v>
      </c>
      <c r="X7" t="str">
        <f>VLOOKUP($E7,Фонд!$A$2:$H$7,COLUMN(Fact_Инвестиции!E7),0)</f>
        <v>RUB</v>
      </c>
      <c r="Y7">
        <f>VLOOKUP($E7,Фонд!$A$2:$H$7,COLUMN(Fact_Инвестиции!F7),0)</f>
        <v>47848</v>
      </c>
      <c r="Z7">
        <f>VLOOKUP($B7,Время!$A$2:$G$25,COLUMN(Fact_Инвестиции!B7),0)</f>
        <v>45306</v>
      </c>
      <c r="AA7">
        <f>VLOOKUP($B7,Время!$A$2:$G$25,COLUMN(Fact_Инвестиции!C7),0)</f>
        <v>2024</v>
      </c>
      <c r="AB7">
        <f>VLOOKUP($B7,Время!$A$2:$G$25,COLUMN(Fact_Инвестиции!D7),0)</f>
        <v>1</v>
      </c>
      <c r="AC7">
        <f>VLOOKUP($B7,Время!$A$2:$G$25,COLUMN(Fact_Инвестиции!E7),0)</f>
        <v>1</v>
      </c>
      <c r="AD7">
        <f>VLOOKUP($B7,Время!$A$2:$G$25,COLUMN(Fact_Инвестиции!F7),0)</f>
        <v>15</v>
      </c>
      <c r="AE7" t="str">
        <f>VLOOKUP($B7,Время!$A$2:$G$25,COLUMN(Fact_Инвестиции!G7),0)</f>
        <v>Понедельник</v>
      </c>
    </row>
    <row r="8" spans="1:31">
      <c r="A8">
        <v>8</v>
      </c>
      <c r="B8">
        <v>20240115</v>
      </c>
      <c r="C8">
        <v>2</v>
      </c>
      <c r="D8">
        <v>2</v>
      </c>
      <c r="E8">
        <v>2</v>
      </c>
      <c r="F8" s="1">
        <v>52000</v>
      </c>
      <c r="G8" s="1">
        <v>2115.1999999999998</v>
      </c>
      <c r="H8" s="1">
        <v>109990400</v>
      </c>
      <c r="I8">
        <v>8.8000000000000007</v>
      </c>
      <c r="J8" t="str">
        <f>VLOOKUP($D8,Инвестор!$A$2:$F$6,COLUMN(Fact_Инвестиции!B8),0)</f>
        <v>Юридическое лицо</v>
      </c>
      <c r="K8" t="str">
        <f>VLOOKUP($D8,Инвестор!$A$2:$F$6,COLUMN(Fact_Инвестиции!C8),0)</f>
        <v>770198765432</v>
      </c>
      <c r="L8" t="str">
        <f>VLOOKUP($D8,Инвестор!$A$2:$F$6,COLUMN(Fact_Инвестиции!D8),0)</f>
        <v>ООО "ИнвестПро"</v>
      </c>
      <c r="M8" t="str">
        <f>VLOOKUP($D8,Инвестор!$A$2:$F$6,COLUMN(Fact_Инвестиции!E8),0)</f>
        <v>Профессиональный</v>
      </c>
      <c r="N8" t="str">
        <f>VLOOKUP($D8,Инвестор!$A$2:$F$6,COLUMN(Fact_Инвестиции!F8),0)</f>
        <v>Санкт-Петербург</v>
      </c>
      <c r="O8" t="str">
        <f>VLOOKUP($C8,Фонд!$A$2:$H$7,COLUMN(Fact_Инвестиции!B8),0)</f>
        <v>RU000A0JX0F2</v>
      </c>
      <c r="P8" t="str">
        <f>VLOOKUP($C8,Фонд!$A$2:$H$7,COLUMN(Fact_Инвестиции!C8),0)</f>
        <v>Газпромбанк-10</v>
      </c>
      <c r="Q8">
        <f>VLOOKUP($C8,Фонд!$A$2:$H$7,COLUMN(Fact_Инвестиции!D8),0)</f>
        <v>1000</v>
      </c>
      <c r="R8" t="str">
        <f>VLOOKUP($C8,Фонд!$A$2:$H$7,COLUMN(Fact_Инвестиции!E8),0)</f>
        <v>RUB</v>
      </c>
      <c r="S8">
        <f>VLOOKUP($C8,Фонд!$A$2:$H$7,COLUMN(Fact_Инвестиции!F8),0)</f>
        <v>46888</v>
      </c>
      <c r="T8" t="str">
        <f>VLOOKUP($C8,Фонд!$A$2:$H$7,COLUMN(Fact_Инвестиции!G8),0)</f>
        <v>Корп. облигация</v>
      </c>
      <c r="U8" t="str">
        <f>VLOOKUP($E8,Фонд!$A$2:$H$7,COLUMN(Fact_Инвестиции!B8),0)</f>
        <v>RU000A0JX0F2</v>
      </c>
      <c r="V8" t="str">
        <f>VLOOKUP($E8,Фонд!$A$2:$H$7,COLUMN(Fact_Инвестиции!C8),0)</f>
        <v>Газпромбанк-10</v>
      </c>
      <c r="W8">
        <f>VLOOKUP($E8,Фонд!$A$2:$H$7,COLUMN(Fact_Инвестиции!D8),0)</f>
        <v>1000</v>
      </c>
      <c r="X8" t="str">
        <f>VLOOKUP($E8,Фонд!$A$2:$H$7,COLUMN(Fact_Инвестиции!E8),0)</f>
        <v>RUB</v>
      </c>
      <c r="Y8">
        <f>VLOOKUP($E8,Фонд!$A$2:$H$7,COLUMN(Fact_Инвестиции!F8),0)</f>
        <v>46888</v>
      </c>
      <c r="Z8">
        <f>VLOOKUP($B8,Время!$A$2:$G$25,COLUMN(Fact_Инвестиции!B8),0)</f>
        <v>45306</v>
      </c>
      <c r="AA8">
        <f>VLOOKUP($B8,Время!$A$2:$G$25,COLUMN(Fact_Инвестиции!C8),0)</f>
        <v>2024</v>
      </c>
      <c r="AB8">
        <f>VLOOKUP($B8,Время!$A$2:$G$25,COLUMN(Fact_Инвестиции!D8),0)</f>
        <v>1</v>
      </c>
      <c r="AC8">
        <f>VLOOKUP($B8,Время!$A$2:$G$25,COLUMN(Fact_Инвестиции!E8),0)</f>
        <v>1</v>
      </c>
      <c r="AD8">
        <f>VLOOKUP($B8,Время!$A$2:$G$25,COLUMN(Fact_Инвестиции!F8),0)</f>
        <v>15</v>
      </c>
      <c r="AE8" t="str">
        <f>VLOOKUP($B8,Время!$A$2:$G$25,COLUMN(Fact_Инвестиции!G8),0)</f>
        <v>Понедельник</v>
      </c>
    </row>
    <row r="9" spans="1:31">
      <c r="A9">
        <v>9</v>
      </c>
      <c r="B9">
        <v>20240201</v>
      </c>
      <c r="C9">
        <v>3</v>
      </c>
      <c r="D9">
        <v>3</v>
      </c>
      <c r="E9">
        <v>3</v>
      </c>
      <c r="F9" s="1">
        <v>8500</v>
      </c>
      <c r="G9" s="1">
        <v>190.5</v>
      </c>
      <c r="H9" s="1">
        <v>1619250</v>
      </c>
      <c r="I9">
        <v>13.1</v>
      </c>
      <c r="J9" t="str">
        <f>VLOOKUP($D9,Инвестор!$A$2:$F$6,COLUMN(Fact_Инвестиции!B9),0)</f>
        <v>Физическое лицо</v>
      </c>
      <c r="K9" t="str">
        <f>VLOOKUP($D9,Инвестор!$A$2:$F$6,COLUMN(Fact_Инвестиции!C9),0)</f>
        <v>770123456789</v>
      </c>
      <c r="L9" t="str">
        <f>VLOOKUP($D9,Инвестор!$A$2:$F$6,COLUMN(Fact_Инвестиции!D9),0)</f>
        <v>Смирнова Мария Игоревна</v>
      </c>
      <c r="M9" t="str">
        <f>VLOOKUP($D9,Инвестор!$A$2:$F$6,COLUMN(Fact_Инвестиции!E9),0)</f>
        <v>Неквалифицированный</v>
      </c>
      <c r="N9" t="str">
        <f>VLOOKUP($D9,Инвестор!$A$2:$F$6,COLUMN(Fact_Инвестиции!F9),0)</f>
        <v>Новосибирск</v>
      </c>
      <c r="O9" t="str">
        <f>VLOOKUP($C9,Фонд!$A$2:$H$7,COLUMN(Fact_Инвестиции!B9),0)</f>
        <v>US0378331005</v>
      </c>
      <c r="P9" t="str">
        <f>VLOOKUP($C9,Фонд!$A$2:$H$7,COLUMN(Fact_Инвестиции!C9),0)</f>
        <v>Apple</v>
      </c>
      <c r="Q9">
        <f>VLOOKUP($C9,Фонд!$A$2:$H$7,COLUMN(Fact_Инвестиции!D9),0)</f>
        <v>0</v>
      </c>
      <c r="R9" t="str">
        <f>VLOOKUP($C9,Фонд!$A$2:$H$7,COLUMN(Fact_Инвестиции!E9),0)</f>
        <v>USD</v>
      </c>
      <c r="S9">
        <f>VLOOKUP($C9,Фонд!$A$2:$H$7,COLUMN(Fact_Инвестиции!F9),0)</f>
        <v>0</v>
      </c>
      <c r="T9" t="str">
        <f>VLOOKUP($C9,Фонд!$A$2:$H$7,COLUMN(Fact_Инвестиции!G9),0)</f>
        <v>Акция</v>
      </c>
      <c r="U9" t="str">
        <f>VLOOKUP($E9,Фонд!$A$2:$H$7,COLUMN(Fact_Инвестиции!B9),0)</f>
        <v>US0378331005</v>
      </c>
      <c r="V9" t="str">
        <f>VLOOKUP($E9,Фонд!$A$2:$H$7,COLUMN(Fact_Инвестиции!C9),0)</f>
        <v>Apple</v>
      </c>
      <c r="W9">
        <f>VLOOKUP($E9,Фонд!$A$2:$H$7,COLUMN(Fact_Инвестиции!D9),0)</f>
        <v>0</v>
      </c>
      <c r="X9" t="str">
        <f>VLOOKUP($E9,Фонд!$A$2:$H$7,COLUMN(Fact_Инвестиции!E9),0)</f>
        <v>USD</v>
      </c>
      <c r="Y9">
        <f>VLOOKUP($E9,Фонд!$A$2:$H$7,COLUMN(Fact_Инвестиции!F9),0)</f>
        <v>0</v>
      </c>
      <c r="Z9">
        <f>VLOOKUP($B9,Время!$A$2:$G$25,COLUMN(Fact_Инвестиции!B9),0)</f>
        <v>45293</v>
      </c>
      <c r="AA9">
        <f>VLOOKUP($B9,Время!$A$2:$G$25,COLUMN(Fact_Инвестиции!C9),0)</f>
        <v>2024</v>
      </c>
      <c r="AB9">
        <f>VLOOKUP($B9,Время!$A$2:$G$25,COLUMN(Fact_Инвестиции!D9),0)</f>
        <v>1</v>
      </c>
      <c r="AC9">
        <f>VLOOKUP($B9,Время!$A$2:$G$25,COLUMN(Fact_Инвестиции!E9),0)</f>
        <v>2</v>
      </c>
      <c r="AD9">
        <f>VLOOKUP($B9,Время!$A$2:$G$25,COLUMN(Fact_Инвестиции!F9),0)</f>
        <v>1</v>
      </c>
      <c r="AE9" t="str">
        <f>VLOOKUP($B9,Время!$A$2:$G$25,COLUMN(Fact_Инвестиции!G9),0)</f>
        <v>Четверг</v>
      </c>
    </row>
    <row r="10" spans="1:31">
      <c r="A10">
        <v>10</v>
      </c>
      <c r="B10">
        <v>20240201</v>
      </c>
      <c r="C10">
        <v>4</v>
      </c>
      <c r="D10">
        <v>4</v>
      </c>
      <c r="E10">
        <v>4</v>
      </c>
      <c r="F10" s="1">
        <v>16000</v>
      </c>
      <c r="G10" s="1">
        <v>3225.5</v>
      </c>
      <c r="H10" s="1">
        <v>51608000</v>
      </c>
      <c r="I10">
        <v>7.2</v>
      </c>
      <c r="J10" t="str">
        <f>VLOOKUP($D10,Инвестор!$A$2:$F$6,COLUMN(Fact_Инвестиции!B10),0)</f>
        <v>Юридическое лицо</v>
      </c>
      <c r="K10" t="str">
        <f>VLOOKUP($D10,Инвестор!$A$2:$F$6,COLUMN(Fact_Инвестиции!C10),0)</f>
        <v>770187654321</v>
      </c>
      <c r="L10" t="str">
        <f>VLOOKUP($D10,Инвестор!$A$2:$F$6,COLUMN(Fact_Инвестиции!D10),0)</f>
        <v>АО "КапиталТраст"</v>
      </c>
      <c r="M10" t="str">
        <f>VLOOKUP($D10,Инвестор!$A$2:$F$6,COLUMN(Fact_Инвестиции!E10),0)</f>
        <v>Профессиональный</v>
      </c>
      <c r="N10" t="str">
        <f>VLOOKUP($D10,Инвестор!$A$2:$F$6,COLUMN(Fact_Инвестиции!F10),0)</f>
        <v>Москва</v>
      </c>
      <c r="O10" t="str">
        <f>VLOOKUP($C10,Фонд!$A$2:$H$7,COLUMN(Fact_Инвестиции!B10),0)</f>
        <v>US5949181045</v>
      </c>
      <c r="P10" t="str">
        <f>VLOOKUP($C10,Фонд!$A$2:$H$7,COLUMN(Fact_Инвестиции!C10),0)</f>
        <v>Microsoft</v>
      </c>
      <c r="Q10">
        <f>VLOOKUP($C10,Фонд!$A$2:$H$7,COLUMN(Fact_Инвестиции!D10),0)</f>
        <v>0</v>
      </c>
      <c r="R10" t="str">
        <f>VLOOKUP($C10,Фонд!$A$2:$H$7,COLUMN(Fact_Инвестиции!E10),0)</f>
        <v>USD</v>
      </c>
      <c r="S10">
        <f>VLOOKUP($C10,Фонд!$A$2:$H$7,COLUMN(Fact_Инвестиции!F10),0)</f>
        <v>0</v>
      </c>
      <c r="T10" t="str">
        <f>VLOOKUP($C10,Фонд!$A$2:$H$7,COLUMN(Fact_Инвестиции!G10),0)</f>
        <v>Акция</v>
      </c>
      <c r="U10" t="str">
        <f>VLOOKUP($E10,Фонд!$A$2:$H$7,COLUMN(Fact_Инвестиции!B10),0)</f>
        <v>US5949181045</v>
      </c>
      <c r="V10" t="str">
        <f>VLOOKUP($E10,Фонд!$A$2:$H$7,COLUMN(Fact_Инвестиции!C10),0)</f>
        <v>Microsoft</v>
      </c>
      <c r="W10">
        <f>VLOOKUP($E10,Фонд!$A$2:$H$7,COLUMN(Fact_Инвестиции!D10),0)</f>
        <v>0</v>
      </c>
      <c r="X10" t="str">
        <f>VLOOKUP($E10,Фонд!$A$2:$H$7,COLUMN(Fact_Инвестиции!E10),0)</f>
        <v>USD</v>
      </c>
      <c r="Y10">
        <f>VLOOKUP($E10,Фонд!$A$2:$H$7,COLUMN(Fact_Инвестиции!F10),0)</f>
        <v>0</v>
      </c>
      <c r="Z10">
        <f>VLOOKUP($B10,Время!$A$2:$G$25,COLUMN(Fact_Инвестиции!B10),0)</f>
        <v>45293</v>
      </c>
      <c r="AA10">
        <f>VLOOKUP($B10,Время!$A$2:$G$25,COLUMN(Fact_Инвестиции!C10),0)</f>
        <v>2024</v>
      </c>
      <c r="AB10">
        <f>VLOOKUP($B10,Время!$A$2:$G$25,COLUMN(Fact_Инвестиции!D10),0)</f>
        <v>1</v>
      </c>
      <c r="AC10">
        <f>VLOOKUP($B10,Время!$A$2:$G$25,COLUMN(Fact_Инвестиции!E10),0)</f>
        <v>2</v>
      </c>
      <c r="AD10">
        <f>VLOOKUP($B10,Время!$A$2:$G$25,COLUMN(Fact_Инвестиции!F10),0)</f>
        <v>1</v>
      </c>
      <c r="AE10" t="str">
        <f>VLOOKUP($B10,Время!$A$2:$G$25,COLUMN(Fact_Инвестиции!G10),0)</f>
        <v>Четверг</v>
      </c>
    </row>
    <row r="11" spans="1:31">
      <c r="A11">
        <v>11</v>
      </c>
      <c r="B11">
        <v>20240215</v>
      </c>
      <c r="C11">
        <v>1</v>
      </c>
      <c r="D11">
        <v>5</v>
      </c>
      <c r="E11">
        <v>1</v>
      </c>
      <c r="F11" s="1">
        <v>22000</v>
      </c>
      <c r="G11" s="1">
        <v>1062.75</v>
      </c>
      <c r="H11" s="1">
        <v>23380500</v>
      </c>
      <c r="I11">
        <v>7.9</v>
      </c>
      <c r="J11" t="str">
        <f>VLOOKUP($D11,Инвестор!$A$2:$F$6,COLUMN(Fact_Инвестиции!B11),0)</f>
        <v>Физическое лицо</v>
      </c>
      <c r="K11" t="str">
        <f>VLOOKUP($D11,Инвестор!$A$2:$F$6,COLUMN(Fact_Инвестиции!C11),0)</f>
        <v>770134567890</v>
      </c>
      <c r="L11" t="str">
        <f>VLOOKUP($D11,Инвестор!$A$2:$F$6,COLUMN(Fact_Инвестиции!D11),0)</f>
        <v>Кузнецов Дмитрий Сергеевич</v>
      </c>
      <c r="M11" t="str">
        <f>VLOOKUP($D11,Инвестор!$A$2:$F$6,COLUMN(Fact_Инвестиции!E11),0)</f>
        <v>Квалифицированный</v>
      </c>
      <c r="N11" t="str">
        <f>VLOOKUP($D11,Инвестор!$A$2:$F$6,COLUMN(Fact_Инвестиции!F11),0)</f>
        <v>Екатеринбург</v>
      </c>
      <c r="O11" t="str">
        <f>VLOOKUP($C11,Фонд!$A$2:$H$7,COLUMN(Fact_Инвестиции!B11),0)</f>
        <v>RU000A0JXYF1</v>
      </c>
      <c r="P11" t="str">
        <f>VLOOKUP($C11,Фонд!$A$2:$H$7,COLUMN(Fact_Инвестиции!C11),0)</f>
        <v>ОФЗ 26231</v>
      </c>
      <c r="Q11">
        <f>VLOOKUP($C11,Фонд!$A$2:$H$7,COLUMN(Fact_Инвестиции!D11),0)</f>
        <v>1000</v>
      </c>
      <c r="R11" t="str">
        <f>VLOOKUP($C11,Фонд!$A$2:$H$7,COLUMN(Fact_Инвестиции!E11),0)</f>
        <v>RUB</v>
      </c>
      <c r="S11">
        <f>VLOOKUP($C11,Фонд!$A$2:$H$7,COLUMN(Fact_Инвестиции!F11),0)</f>
        <v>47848</v>
      </c>
      <c r="T11" t="str">
        <f>VLOOKUP($C11,Фонд!$A$2:$H$7,COLUMN(Fact_Инвестиции!G11),0)</f>
        <v>Гос. облигация</v>
      </c>
      <c r="U11" t="str">
        <f>VLOOKUP($E11,Фонд!$A$2:$H$7,COLUMN(Fact_Инвестиции!B11),0)</f>
        <v>RU000A0JXYF1</v>
      </c>
      <c r="V11" t="str">
        <f>VLOOKUP($E11,Фонд!$A$2:$H$7,COLUMN(Fact_Инвестиции!C11),0)</f>
        <v>ОФЗ 26231</v>
      </c>
      <c r="W11">
        <f>VLOOKUP($E11,Фонд!$A$2:$H$7,COLUMN(Fact_Инвестиции!D11),0)</f>
        <v>1000</v>
      </c>
      <c r="X11" t="str">
        <f>VLOOKUP($E11,Фонд!$A$2:$H$7,COLUMN(Fact_Инвестиции!E11),0)</f>
        <v>RUB</v>
      </c>
      <c r="Y11">
        <f>VLOOKUP($E11,Фонд!$A$2:$H$7,COLUMN(Fact_Инвестиции!F11),0)</f>
        <v>47848</v>
      </c>
      <c r="Z11">
        <f>VLOOKUP($B11,Время!$A$2:$G$25,COLUMN(Fact_Инвестиции!B11),0)</f>
        <v>45337</v>
      </c>
      <c r="AA11">
        <f>VLOOKUP($B11,Время!$A$2:$G$25,COLUMN(Fact_Инвестиции!C11),0)</f>
        <v>2024</v>
      </c>
      <c r="AB11">
        <f>VLOOKUP($B11,Время!$A$2:$G$25,COLUMN(Fact_Инвестиции!D11),0)</f>
        <v>1</v>
      </c>
      <c r="AC11">
        <f>VLOOKUP($B11,Время!$A$2:$G$25,COLUMN(Fact_Инвестиции!E11),0)</f>
        <v>2</v>
      </c>
      <c r="AD11">
        <f>VLOOKUP($B11,Время!$A$2:$G$25,COLUMN(Fact_Инвестиции!F11),0)</f>
        <v>15</v>
      </c>
      <c r="AE11" t="str">
        <f>VLOOKUP($B11,Время!$A$2:$G$25,COLUMN(Fact_Инвестиции!G11),0)</f>
        <v>Четверг</v>
      </c>
    </row>
    <row r="12" spans="1:31">
      <c r="A12">
        <v>12</v>
      </c>
      <c r="B12">
        <v>20240215</v>
      </c>
      <c r="C12">
        <v>2</v>
      </c>
      <c r="D12">
        <v>1</v>
      </c>
      <c r="E12">
        <v>2</v>
      </c>
      <c r="F12" s="1">
        <v>53000</v>
      </c>
      <c r="G12" s="1">
        <v>2128.9</v>
      </c>
      <c r="H12" s="1">
        <v>112831700</v>
      </c>
      <c r="I12">
        <v>9.1</v>
      </c>
      <c r="J12" t="str">
        <f>VLOOKUP($D12,Инвестор!$A$2:$F$6,COLUMN(Fact_Инвестиции!B12),0)</f>
        <v>Физическое лицо</v>
      </c>
      <c r="K12" t="str">
        <f>VLOOKUP($D12,Инвестор!$A$2:$F$6,COLUMN(Fact_Инвестиции!C12),0)</f>
        <v>770112345678</v>
      </c>
      <c r="L12" t="str">
        <f>VLOOKUP($D12,Инвестор!$A$2:$F$6,COLUMN(Fact_Инвестиции!D12),0)</f>
        <v>Иванов Алексей Петрович</v>
      </c>
      <c r="M12" t="str">
        <f>VLOOKUP($D12,Инвестор!$A$2:$F$6,COLUMN(Fact_Инвестиции!E12),0)</f>
        <v>Квалифицированный</v>
      </c>
      <c r="N12" t="str">
        <f>VLOOKUP($D12,Инвестор!$A$2:$F$6,COLUMN(Fact_Инвестиции!F12),0)</f>
        <v>Москва</v>
      </c>
      <c r="O12" t="str">
        <f>VLOOKUP($C12,Фонд!$A$2:$H$7,COLUMN(Fact_Инвестиции!B12),0)</f>
        <v>RU000A0JX0F2</v>
      </c>
      <c r="P12" t="str">
        <f>VLOOKUP($C12,Фонд!$A$2:$H$7,COLUMN(Fact_Инвестиции!C12),0)</f>
        <v>Газпромбанк-10</v>
      </c>
      <c r="Q12">
        <f>VLOOKUP($C12,Фонд!$A$2:$H$7,COLUMN(Fact_Инвестиции!D12),0)</f>
        <v>1000</v>
      </c>
      <c r="R12" t="str">
        <f>VLOOKUP($C12,Фонд!$A$2:$H$7,COLUMN(Fact_Инвестиции!E12),0)</f>
        <v>RUB</v>
      </c>
      <c r="S12">
        <f>VLOOKUP($C12,Фонд!$A$2:$H$7,COLUMN(Fact_Инвестиции!F12),0)</f>
        <v>46888</v>
      </c>
      <c r="T12" t="str">
        <f>VLOOKUP($C12,Фонд!$A$2:$H$7,COLUMN(Fact_Инвестиции!G12),0)</f>
        <v>Корп. облигация</v>
      </c>
      <c r="U12" t="str">
        <f>VLOOKUP($E12,Фонд!$A$2:$H$7,COLUMN(Fact_Инвестиции!B12),0)</f>
        <v>RU000A0JX0F2</v>
      </c>
      <c r="V12" t="str">
        <f>VLOOKUP($E12,Фонд!$A$2:$H$7,COLUMN(Fact_Инвестиции!C12),0)</f>
        <v>Газпромбанк-10</v>
      </c>
      <c r="W12">
        <f>VLOOKUP($E12,Фонд!$A$2:$H$7,COLUMN(Fact_Инвестиции!D12),0)</f>
        <v>1000</v>
      </c>
      <c r="X12" t="str">
        <f>VLOOKUP($E12,Фонд!$A$2:$H$7,COLUMN(Fact_Инвестиции!E12),0)</f>
        <v>RUB</v>
      </c>
      <c r="Y12">
        <f>VLOOKUP($E12,Фонд!$A$2:$H$7,COLUMN(Fact_Инвестиции!F12),0)</f>
        <v>46888</v>
      </c>
      <c r="Z12">
        <f>VLOOKUP($B12,Время!$A$2:$G$25,COLUMN(Fact_Инвестиции!B12),0)</f>
        <v>45337</v>
      </c>
      <c r="AA12">
        <f>VLOOKUP($B12,Время!$A$2:$G$25,COLUMN(Fact_Инвестиции!C12),0)</f>
        <v>2024</v>
      </c>
      <c r="AB12">
        <f>VLOOKUP($B12,Время!$A$2:$G$25,COLUMN(Fact_Инвестиции!D12),0)</f>
        <v>1</v>
      </c>
      <c r="AC12">
        <f>VLOOKUP($B12,Время!$A$2:$G$25,COLUMN(Fact_Инвестиции!E12),0)</f>
        <v>2</v>
      </c>
      <c r="AD12">
        <f>VLOOKUP($B12,Время!$A$2:$G$25,COLUMN(Fact_Инвестиции!F12),0)</f>
        <v>15</v>
      </c>
      <c r="AE12" t="str">
        <f>VLOOKUP($B12,Время!$A$2:$G$25,COLUMN(Fact_Инвестиции!G12),0)</f>
        <v>Четверг</v>
      </c>
    </row>
    <row r="13" spans="1:31">
      <c r="A13">
        <v>13</v>
      </c>
      <c r="B13">
        <v>20240301</v>
      </c>
      <c r="C13">
        <v>3</v>
      </c>
      <c r="D13">
        <v>2</v>
      </c>
      <c r="E13">
        <v>3</v>
      </c>
      <c r="F13" s="1">
        <v>9000</v>
      </c>
      <c r="G13" s="1">
        <v>195.75</v>
      </c>
      <c r="H13" s="1">
        <v>1761750</v>
      </c>
      <c r="I13">
        <v>13.8</v>
      </c>
      <c r="J13" t="str">
        <f>VLOOKUP($D13,Инвестор!$A$2:$F$6,COLUMN(Fact_Инвестиции!B13),0)</f>
        <v>Юридическое лицо</v>
      </c>
      <c r="K13" t="str">
        <f>VLOOKUP($D13,Инвестор!$A$2:$F$6,COLUMN(Fact_Инвестиции!C13),0)</f>
        <v>770198765432</v>
      </c>
      <c r="L13" t="str">
        <f>VLOOKUP($D13,Инвестор!$A$2:$F$6,COLUMN(Fact_Инвестиции!D13),0)</f>
        <v>ООО "ИнвестПро"</v>
      </c>
      <c r="M13" t="str">
        <f>VLOOKUP($D13,Инвестор!$A$2:$F$6,COLUMN(Fact_Инвестиции!E13),0)</f>
        <v>Профессиональный</v>
      </c>
      <c r="N13" t="str">
        <f>VLOOKUP($D13,Инвестор!$A$2:$F$6,COLUMN(Fact_Инвестиции!F13),0)</f>
        <v>Санкт-Петербург</v>
      </c>
      <c r="O13" t="str">
        <f>VLOOKUP($C13,Фонд!$A$2:$H$7,COLUMN(Fact_Инвестиции!B13),0)</f>
        <v>US0378331005</v>
      </c>
      <c r="P13" t="str">
        <f>VLOOKUP($C13,Фонд!$A$2:$H$7,COLUMN(Fact_Инвестиции!C13),0)</f>
        <v>Apple</v>
      </c>
      <c r="Q13">
        <f>VLOOKUP($C13,Фонд!$A$2:$H$7,COLUMN(Fact_Инвестиции!D13),0)</f>
        <v>0</v>
      </c>
      <c r="R13" t="str">
        <f>VLOOKUP($C13,Фонд!$A$2:$H$7,COLUMN(Fact_Инвестиции!E13),0)</f>
        <v>USD</v>
      </c>
      <c r="S13">
        <f>VLOOKUP($C13,Фонд!$A$2:$H$7,COLUMN(Fact_Инвестиции!F13),0)</f>
        <v>0</v>
      </c>
      <c r="T13" t="str">
        <f>VLOOKUP($C13,Фонд!$A$2:$H$7,COLUMN(Fact_Инвестиции!G13),0)</f>
        <v>Акция</v>
      </c>
      <c r="U13" t="str">
        <f>VLOOKUP($E13,Фонд!$A$2:$H$7,COLUMN(Fact_Инвестиции!B13),0)</f>
        <v>US0378331005</v>
      </c>
      <c r="V13" t="str">
        <f>VLOOKUP($E13,Фонд!$A$2:$H$7,COLUMN(Fact_Инвестиции!C13),0)</f>
        <v>Apple</v>
      </c>
      <c r="W13">
        <f>VLOOKUP($E13,Фонд!$A$2:$H$7,COLUMN(Fact_Инвестиции!D13),0)</f>
        <v>0</v>
      </c>
      <c r="X13" t="str">
        <f>VLOOKUP($E13,Фонд!$A$2:$H$7,COLUMN(Fact_Инвестиции!E13),0)</f>
        <v>USD</v>
      </c>
      <c r="Y13">
        <f>VLOOKUP($E13,Фонд!$A$2:$H$7,COLUMN(Fact_Инвестиции!F13),0)</f>
        <v>0</v>
      </c>
      <c r="Z13">
        <f>VLOOKUP($B13,Время!$A$2:$G$25,COLUMN(Fact_Инвестиции!B13),0)</f>
        <v>45294</v>
      </c>
      <c r="AA13">
        <f>VLOOKUP($B13,Время!$A$2:$G$25,COLUMN(Fact_Инвестиции!C13),0)</f>
        <v>2024</v>
      </c>
      <c r="AB13">
        <f>VLOOKUP($B13,Время!$A$2:$G$25,COLUMN(Fact_Инвестиции!D13),0)</f>
        <v>1</v>
      </c>
      <c r="AC13">
        <f>VLOOKUP($B13,Время!$A$2:$G$25,COLUMN(Fact_Инвестиции!E13),0)</f>
        <v>3</v>
      </c>
      <c r="AD13">
        <f>VLOOKUP($B13,Время!$A$2:$G$25,COLUMN(Fact_Инвестиции!F13),0)</f>
        <v>1</v>
      </c>
      <c r="AE13" t="str">
        <f>VLOOKUP($B13,Время!$A$2:$G$25,COLUMN(Fact_Инвестиции!G13),0)</f>
        <v>Пятница</v>
      </c>
    </row>
    <row r="14" spans="1:31">
      <c r="A14">
        <v>14</v>
      </c>
      <c r="B14">
        <v>20240301</v>
      </c>
      <c r="C14">
        <v>4</v>
      </c>
      <c r="D14">
        <v>3</v>
      </c>
      <c r="E14">
        <v>4</v>
      </c>
      <c r="F14" s="1">
        <v>17000</v>
      </c>
      <c r="G14" s="1">
        <v>3250</v>
      </c>
      <c r="H14" s="1">
        <v>55250000</v>
      </c>
      <c r="I14">
        <v>7.5</v>
      </c>
      <c r="J14" t="str">
        <f>VLOOKUP($D14,Инвестор!$A$2:$F$6,COLUMN(Fact_Инвестиции!B14),0)</f>
        <v>Физическое лицо</v>
      </c>
      <c r="K14" t="str">
        <f>VLOOKUP($D14,Инвестор!$A$2:$F$6,COLUMN(Fact_Инвестиции!C14),0)</f>
        <v>770123456789</v>
      </c>
      <c r="L14" t="str">
        <f>VLOOKUP($D14,Инвестор!$A$2:$F$6,COLUMN(Fact_Инвестиции!D14),0)</f>
        <v>Смирнова Мария Игоревна</v>
      </c>
      <c r="M14" t="str">
        <f>VLOOKUP($D14,Инвестор!$A$2:$F$6,COLUMN(Fact_Инвестиции!E14),0)</f>
        <v>Неквалифицированный</v>
      </c>
      <c r="N14" t="str">
        <f>VLOOKUP($D14,Инвестор!$A$2:$F$6,COLUMN(Fact_Инвестиции!F14),0)</f>
        <v>Новосибирск</v>
      </c>
      <c r="O14" t="str">
        <f>VLOOKUP($C14,Фонд!$A$2:$H$7,COLUMN(Fact_Инвестиции!B14),0)</f>
        <v>US5949181045</v>
      </c>
      <c r="P14" t="str">
        <f>VLOOKUP($C14,Фонд!$A$2:$H$7,COLUMN(Fact_Инвестиции!C14),0)</f>
        <v>Microsoft</v>
      </c>
      <c r="Q14">
        <f>VLOOKUP($C14,Фонд!$A$2:$H$7,COLUMN(Fact_Инвестиции!D14),0)</f>
        <v>0</v>
      </c>
      <c r="R14" t="str">
        <f>VLOOKUP($C14,Фонд!$A$2:$H$7,COLUMN(Fact_Инвестиции!E14),0)</f>
        <v>USD</v>
      </c>
      <c r="S14">
        <f>VLOOKUP($C14,Фонд!$A$2:$H$7,COLUMN(Fact_Инвестиции!F14),0)</f>
        <v>0</v>
      </c>
      <c r="T14" t="str">
        <f>VLOOKUP($C14,Фонд!$A$2:$H$7,COLUMN(Fact_Инвестиции!G14),0)</f>
        <v>Акция</v>
      </c>
      <c r="U14" t="str">
        <f>VLOOKUP($E14,Фонд!$A$2:$H$7,COLUMN(Fact_Инвестиции!B14),0)</f>
        <v>US5949181045</v>
      </c>
      <c r="V14" t="str">
        <f>VLOOKUP($E14,Фонд!$A$2:$H$7,COLUMN(Fact_Инвестиции!C14),0)</f>
        <v>Microsoft</v>
      </c>
      <c r="W14">
        <f>VLOOKUP($E14,Фонд!$A$2:$H$7,COLUMN(Fact_Инвестиции!D14),0)</f>
        <v>0</v>
      </c>
      <c r="X14" t="str">
        <f>VLOOKUP($E14,Фонд!$A$2:$H$7,COLUMN(Fact_Инвестиции!E14),0)</f>
        <v>USD</v>
      </c>
      <c r="Y14">
        <f>VLOOKUP($E14,Фонд!$A$2:$H$7,COLUMN(Fact_Инвестиции!F14),0)</f>
        <v>0</v>
      </c>
      <c r="Z14">
        <f>VLOOKUP($B14,Время!$A$2:$G$25,COLUMN(Fact_Инвестиции!B14),0)</f>
        <v>45294</v>
      </c>
      <c r="AA14">
        <f>VLOOKUP($B14,Время!$A$2:$G$25,COLUMN(Fact_Инвестиции!C14),0)</f>
        <v>2024</v>
      </c>
      <c r="AB14">
        <f>VLOOKUP($B14,Время!$A$2:$G$25,COLUMN(Fact_Инвестиции!D14),0)</f>
        <v>1</v>
      </c>
      <c r="AC14">
        <f>VLOOKUP($B14,Время!$A$2:$G$25,COLUMN(Fact_Инвестиции!E14),0)</f>
        <v>3</v>
      </c>
      <c r="AD14">
        <f>VLOOKUP($B14,Время!$A$2:$G$25,COLUMN(Fact_Инвестиции!F14),0)</f>
        <v>1</v>
      </c>
      <c r="AE14" t="str">
        <f>VLOOKUP($B14,Время!$A$2:$G$25,COLUMN(Fact_Инвестиции!G14),0)</f>
        <v>Пятница</v>
      </c>
    </row>
    <row r="15" spans="1:31">
      <c r="A15">
        <v>15</v>
      </c>
      <c r="B15">
        <v>20240315</v>
      </c>
      <c r="C15">
        <v>1</v>
      </c>
      <c r="D15">
        <v>4</v>
      </c>
      <c r="E15">
        <v>1</v>
      </c>
      <c r="F15" s="1">
        <v>25000</v>
      </c>
      <c r="G15" s="1">
        <v>1070.2</v>
      </c>
      <c r="H15" s="1">
        <v>26755000</v>
      </c>
      <c r="I15">
        <v>8.1999999999999993</v>
      </c>
      <c r="J15" t="str">
        <f>VLOOKUP($D15,Инвестор!$A$2:$F$6,COLUMN(Fact_Инвестиции!B15),0)</f>
        <v>Юридическое лицо</v>
      </c>
      <c r="K15" t="str">
        <f>VLOOKUP($D15,Инвестор!$A$2:$F$6,COLUMN(Fact_Инвестиции!C15),0)</f>
        <v>770187654321</v>
      </c>
      <c r="L15" t="str">
        <f>VLOOKUP($D15,Инвестор!$A$2:$F$6,COLUMN(Fact_Инвестиции!D15),0)</f>
        <v>АО "КапиталТраст"</v>
      </c>
      <c r="M15" t="str">
        <f>VLOOKUP($D15,Инвестор!$A$2:$F$6,COLUMN(Fact_Инвестиции!E15),0)</f>
        <v>Профессиональный</v>
      </c>
      <c r="N15" t="str">
        <f>VLOOKUP($D15,Инвестор!$A$2:$F$6,COLUMN(Fact_Инвестиции!F15),0)</f>
        <v>Москва</v>
      </c>
      <c r="O15" t="str">
        <f>VLOOKUP($C15,Фонд!$A$2:$H$7,COLUMN(Fact_Инвестиции!B15),0)</f>
        <v>RU000A0JXYF1</v>
      </c>
      <c r="P15" t="str">
        <f>VLOOKUP($C15,Фонд!$A$2:$H$7,COLUMN(Fact_Инвестиции!C15),0)</f>
        <v>ОФЗ 26231</v>
      </c>
      <c r="Q15">
        <f>VLOOKUP($C15,Фонд!$A$2:$H$7,COLUMN(Fact_Инвестиции!D15),0)</f>
        <v>1000</v>
      </c>
      <c r="R15" t="str">
        <f>VLOOKUP($C15,Фонд!$A$2:$H$7,COLUMN(Fact_Инвестиции!E15),0)</f>
        <v>RUB</v>
      </c>
      <c r="S15">
        <f>VLOOKUP($C15,Фонд!$A$2:$H$7,COLUMN(Fact_Инвестиции!F15),0)</f>
        <v>47848</v>
      </c>
      <c r="T15" t="str">
        <f>VLOOKUP($C15,Фонд!$A$2:$H$7,COLUMN(Fact_Инвестиции!G15),0)</f>
        <v>Гос. облигация</v>
      </c>
      <c r="U15" t="str">
        <f>VLOOKUP($E15,Фонд!$A$2:$H$7,COLUMN(Fact_Инвестиции!B15),0)</f>
        <v>RU000A0JXYF1</v>
      </c>
      <c r="V15" t="str">
        <f>VLOOKUP($E15,Фонд!$A$2:$H$7,COLUMN(Fact_Инвестиции!C15),0)</f>
        <v>ОФЗ 26231</v>
      </c>
      <c r="W15">
        <f>VLOOKUP($E15,Фонд!$A$2:$H$7,COLUMN(Fact_Инвестиции!D15),0)</f>
        <v>1000</v>
      </c>
      <c r="X15" t="str">
        <f>VLOOKUP($E15,Фонд!$A$2:$H$7,COLUMN(Fact_Инвестиции!E15),0)</f>
        <v>RUB</v>
      </c>
      <c r="Y15">
        <f>VLOOKUP($E15,Фонд!$A$2:$H$7,COLUMN(Fact_Инвестиции!F15),0)</f>
        <v>47848</v>
      </c>
      <c r="Z15">
        <f>VLOOKUP($B15,Время!$A$2:$G$25,COLUMN(Fact_Инвестиции!B15),0)</f>
        <v>45366</v>
      </c>
      <c r="AA15">
        <f>VLOOKUP($B15,Время!$A$2:$G$25,COLUMN(Fact_Инвестиции!C15),0)</f>
        <v>2024</v>
      </c>
      <c r="AB15">
        <f>VLOOKUP($B15,Время!$A$2:$G$25,COLUMN(Fact_Инвестиции!D15),0)</f>
        <v>1</v>
      </c>
      <c r="AC15">
        <f>VLOOKUP($B15,Время!$A$2:$G$25,COLUMN(Fact_Инвестиции!E15),0)</f>
        <v>3</v>
      </c>
      <c r="AD15">
        <f>VLOOKUP($B15,Время!$A$2:$G$25,COLUMN(Fact_Инвестиции!F15),0)</f>
        <v>15</v>
      </c>
      <c r="AE15" t="str">
        <f>VLOOKUP($B15,Время!$A$2:$G$25,COLUMN(Fact_Инвестиции!G15),0)</f>
        <v>Пятница</v>
      </c>
    </row>
    <row r="16" spans="1:31">
      <c r="A16">
        <v>16</v>
      </c>
      <c r="B16">
        <v>20240315</v>
      </c>
      <c r="C16">
        <v>2</v>
      </c>
      <c r="D16">
        <v>5</v>
      </c>
      <c r="E16">
        <v>2</v>
      </c>
      <c r="F16" s="1">
        <v>55000</v>
      </c>
      <c r="G16" s="1">
        <v>2145.6</v>
      </c>
      <c r="H16" s="1">
        <v>118008000</v>
      </c>
      <c r="I16">
        <v>9.4</v>
      </c>
      <c r="J16" t="str">
        <f>VLOOKUP($D16,Инвестор!$A$2:$F$6,COLUMN(Fact_Инвестиции!B16),0)</f>
        <v>Физическое лицо</v>
      </c>
      <c r="K16" t="str">
        <f>VLOOKUP($D16,Инвестор!$A$2:$F$6,COLUMN(Fact_Инвестиции!C16),0)</f>
        <v>770134567890</v>
      </c>
      <c r="L16" t="str">
        <f>VLOOKUP($D16,Инвестор!$A$2:$F$6,COLUMN(Fact_Инвестиции!D16),0)</f>
        <v>Кузнецов Дмитрий Сергеевич</v>
      </c>
      <c r="M16" t="str">
        <f>VLOOKUP($D16,Инвестор!$A$2:$F$6,COLUMN(Fact_Инвестиции!E16),0)</f>
        <v>Квалифицированный</v>
      </c>
      <c r="N16" t="str">
        <f>VLOOKUP($D16,Инвестор!$A$2:$F$6,COLUMN(Fact_Инвестиции!F16),0)</f>
        <v>Екатеринбург</v>
      </c>
      <c r="O16" t="str">
        <f>VLOOKUP($C16,Фонд!$A$2:$H$7,COLUMN(Fact_Инвестиции!B16),0)</f>
        <v>RU000A0JX0F2</v>
      </c>
      <c r="P16" t="str">
        <f>VLOOKUP($C16,Фонд!$A$2:$H$7,COLUMN(Fact_Инвестиции!C16),0)</f>
        <v>Газпромбанк-10</v>
      </c>
      <c r="Q16">
        <f>VLOOKUP($C16,Фонд!$A$2:$H$7,COLUMN(Fact_Инвестиции!D16),0)</f>
        <v>1000</v>
      </c>
      <c r="R16" t="str">
        <f>VLOOKUP($C16,Фонд!$A$2:$H$7,COLUMN(Fact_Инвестиции!E16),0)</f>
        <v>RUB</v>
      </c>
      <c r="S16">
        <f>VLOOKUP($C16,Фонд!$A$2:$H$7,COLUMN(Fact_Инвестиции!F16),0)</f>
        <v>46888</v>
      </c>
      <c r="T16" t="str">
        <f>VLOOKUP($C16,Фонд!$A$2:$H$7,COLUMN(Fact_Инвестиции!G16),0)</f>
        <v>Корп. облигация</v>
      </c>
      <c r="U16" t="str">
        <f>VLOOKUP($E16,Фонд!$A$2:$H$7,COLUMN(Fact_Инвестиции!B16),0)</f>
        <v>RU000A0JX0F2</v>
      </c>
      <c r="V16" t="str">
        <f>VLOOKUP($E16,Фонд!$A$2:$H$7,COLUMN(Fact_Инвестиции!C16),0)</f>
        <v>Газпромбанк-10</v>
      </c>
      <c r="W16">
        <f>VLOOKUP($E16,Фонд!$A$2:$H$7,COLUMN(Fact_Инвестиции!D16),0)</f>
        <v>1000</v>
      </c>
      <c r="X16" t="str">
        <f>VLOOKUP($E16,Фонд!$A$2:$H$7,COLUMN(Fact_Инвестиции!E16),0)</f>
        <v>RUB</v>
      </c>
      <c r="Y16">
        <f>VLOOKUP($E16,Фонд!$A$2:$H$7,COLUMN(Fact_Инвестиции!F16),0)</f>
        <v>46888</v>
      </c>
      <c r="Z16">
        <f>VLOOKUP($B16,Время!$A$2:$G$25,COLUMN(Fact_Инвестиции!B16),0)</f>
        <v>45366</v>
      </c>
      <c r="AA16">
        <f>VLOOKUP($B16,Время!$A$2:$G$25,COLUMN(Fact_Инвестиции!C16),0)</f>
        <v>2024</v>
      </c>
      <c r="AB16">
        <f>VLOOKUP($B16,Время!$A$2:$G$25,COLUMN(Fact_Инвестиции!D16),0)</f>
        <v>1</v>
      </c>
      <c r="AC16">
        <f>VLOOKUP($B16,Время!$A$2:$G$25,COLUMN(Fact_Инвестиции!E16),0)</f>
        <v>3</v>
      </c>
      <c r="AD16">
        <f>VLOOKUP($B16,Время!$A$2:$G$25,COLUMN(Fact_Инвестиции!F16),0)</f>
        <v>15</v>
      </c>
      <c r="AE16" t="str">
        <f>VLOOKUP($B16,Время!$A$2:$G$25,COLUMN(Fact_Инвестиции!G16),0)</f>
        <v>Пятница</v>
      </c>
    </row>
    <row r="17" spans="1:31">
      <c r="A17">
        <v>17</v>
      </c>
      <c r="B17">
        <v>20240401</v>
      </c>
      <c r="C17">
        <v>3</v>
      </c>
      <c r="D17">
        <v>1</v>
      </c>
      <c r="E17">
        <v>3</v>
      </c>
      <c r="F17" s="1">
        <v>9500</v>
      </c>
      <c r="G17" s="1">
        <v>200.3</v>
      </c>
      <c r="H17" s="1">
        <v>1902850</v>
      </c>
      <c r="I17">
        <v>14.5</v>
      </c>
      <c r="J17" t="str">
        <f>VLOOKUP($D17,Инвестор!$A$2:$F$6,COLUMN(Fact_Инвестиции!B17),0)</f>
        <v>Физическое лицо</v>
      </c>
      <c r="K17" t="str">
        <f>VLOOKUP($D17,Инвестор!$A$2:$F$6,COLUMN(Fact_Инвестиции!C17),0)</f>
        <v>770112345678</v>
      </c>
      <c r="L17" t="str">
        <f>VLOOKUP($D17,Инвестор!$A$2:$F$6,COLUMN(Fact_Инвестиции!D17),0)</f>
        <v>Иванов Алексей Петрович</v>
      </c>
      <c r="M17" t="str">
        <f>VLOOKUP($D17,Инвестор!$A$2:$F$6,COLUMN(Fact_Инвестиции!E17),0)</f>
        <v>Квалифицированный</v>
      </c>
      <c r="N17" t="str">
        <f>VLOOKUP($D17,Инвестор!$A$2:$F$6,COLUMN(Fact_Инвестиции!F17),0)</f>
        <v>Москва</v>
      </c>
      <c r="O17" t="str">
        <f>VLOOKUP($C17,Фонд!$A$2:$H$7,COLUMN(Fact_Инвестиции!B17),0)</f>
        <v>US0378331005</v>
      </c>
      <c r="P17" t="str">
        <f>VLOOKUP($C17,Фонд!$A$2:$H$7,COLUMN(Fact_Инвестиции!C17),0)</f>
        <v>Apple</v>
      </c>
      <c r="Q17">
        <f>VLOOKUP($C17,Фонд!$A$2:$H$7,COLUMN(Fact_Инвестиции!D17),0)</f>
        <v>0</v>
      </c>
      <c r="R17" t="str">
        <f>VLOOKUP($C17,Фонд!$A$2:$H$7,COLUMN(Fact_Инвестиции!E17),0)</f>
        <v>USD</v>
      </c>
      <c r="S17">
        <f>VLOOKUP($C17,Фонд!$A$2:$H$7,COLUMN(Fact_Инвестиции!F17),0)</f>
        <v>0</v>
      </c>
      <c r="T17" t="str">
        <f>VLOOKUP($C17,Фонд!$A$2:$H$7,COLUMN(Fact_Инвестиции!G17),0)</f>
        <v>Акция</v>
      </c>
      <c r="U17" t="str">
        <f>VLOOKUP($E17,Фонд!$A$2:$H$7,COLUMN(Fact_Инвестиции!B17),0)</f>
        <v>US0378331005</v>
      </c>
      <c r="V17" t="str">
        <f>VLOOKUP($E17,Фонд!$A$2:$H$7,COLUMN(Fact_Инвестиции!C17),0)</f>
        <v>Apple</v>
      </c>
      <c r="W17">
        <f>VLOOKUP($E17,Фонд!$A$2:$H$7,COLUMN(Fact_Инвестиции!D17),0)</f>
        <v>0</v>
      </c>
      <c r="X17" t="str">
        <f>VLOOKUP($E17,Фонд!$A$2:$H$7,COLUMN(Fact_Инвестиции!E17),0)</f>
        <v>USD</v>
      </c>
      <c r="Y17">
        <f>VLOOKUP($E17,Фонд!$A$2:$H$7,COLUMN(Fact_Инвестиции!F17),0)</f>
        <v>0</v>
      </c>
      <c r="Z17">
        <f>VLOOKUP($B17,Время!$A$2:$G$25,COLUMN(Fact_Инвестиции!B17),0)</f>
        <v>45295</v>
      </c>
      <c r="AA17">
        <f>VLOOKUP($B17,Время!$A$2:$G$25,COLUMN(Fact_Инвестиции!C17),0)</f>
        <v>2024</v>
      </c>
      <c r="AB17">
        <f>VLOOKUP($B17,Время!$A$2:$G$25,COLUMN(Fact_Инвестиции!D17),0)</f>
        <v>2</v>
      </c>
      <c r="AC17">
        <f>VLOOKUP($B17,Время!$A$2:$G$25,COLUMN(Fact_Инвестиции!E17),0)</f>
        <v>4</v>
      </c>
      <c r="AD17">
        <f>VLOOKUP($B17,Время!$A$2:$G$25,COLUMN(Fact_Инвестиции!F17),0)</f>
        <v>1</v>
      </c>
      <c r="AE17" t="str">
        <f>VLOOKUP($B17,Время!$A$2:$G$25,COLUMN(Fact_Инвестиции!G17),0)</f>
        <v>Понедельник</v>
      </c>
    </row>
    <row r="18" spans="1:31">
      <c r="A18">
        <v>18</v>
      </c>
      <c r="B18">
        <v>20240401</v>
      </c>
      <c r="C18">
        <v>4</v>
      </c>
      <c r="D18">
        <v>2</v>
      </c>
      <c r="E18">
        <v>4</v>
      </c>
      <c r="F18" s="1">
        <v>18000</v>
      </c>
      <c r="G18" s="1">
        <v>3280.25</v>
      </c>
      <c r="H18" s="1">
        <v>59044500</v>
      </c>
      <c r="I18">
        <v>7.8</v>
      </c>
      <c r="J18" t="str">
        <f>VLOOKUP($D18,Инвестор!$A$2:$F$6,COLUMN(Fact_Инвестиции!B18),0)</f>
        <v>Юридическое лицо</v>
      </c>
      <c r="K18" t="str">
        <f>VLOOKUP($D18,Инвестор!$A$2:$F$6,COLUMN(Fact_Инвестиции!C18),0)</f>
        <v>770198765432</v>
      </c>
      <c r="L18" t="str">
        <f>VLOOKUP($D18,Инвестор!$A$2:$F$6,COLUMN(Fact_Инвестиции!D18),0)</f>
        <v>ООО "ИнвестПро"</v>
      </c>
      <c r="M18" t="str">
        <f>VLOOKUP($D18,Инвестор!$A$2:$F$6,COLUMN(Fact_Инвестиции!E18),0)</f>
        <v>Профессиональный</v>
      </c>
      <c r="N18" t="str">
        <f>VLOOKUP($D18,Инвестор!$A$2:$F$6,COLUMN(Fact_Инвестиции!F18),0)</f>
        <v>Санкт-Петербург</v>
      </c>
      <c r="O18" t="str">
        <f>VLOOKUP($C18,Фонд!$A$2:$H$7,COLUMN(Fact_Инвестиции!B18),0)</f>
        <v>US5949181045</v>
      </c>
      <c r="P18" t="str">
        <f>VLOOKUP($C18,Фонд!$A$2:$H$7,COLUMN(Fact_Инвестиции!C18),0)</f>
        <v>Microsoft</v>
      </c>
      <c r="Q18">
        <f>VLOOKUP($C18,Фонд!$A$2:$H$7,COLUMN(Fact_Инвестиции!D18),0)</f>
        <v>0</v>
      </c>
      <c r="R18" t="str">
        <f>VLOOKUP($C18,Фонд!$A$2:$H$7,COLUMN(Fact_Инвестиции!E18),0)</f>
        <v>USD</v>
      </c>
      <c r="S18">
        <f>VLOOKUP($C18,Фонд!$A$2:$H$7,COLUMN(Fact_Инвестиции!F18),0)</f>
        <v>0</v>
      </c>
      <c r="T18" t="str">
        <f>VLOOKUP($C18,Фонд!$A$2:$H$7,COLUMN(Fact_Инвестиции!G18),0)</f>
        <v>Акция</v>
      </c>
      <c r="U18" t="str">
        <f>VLOOKUP($E18,Фонд!$A$2:$H$7,COLUMN(Fact_Инвестиции!B18),0)</f>
        <v>US5949181045</v>
      </c>
      <c r="V18" t="str">
        <f>VLOOKUP($E18,Фонд!$A$2:$H$7,COLUMN(Fact_Инвестиции!C18),0)</f>
        <v>Microsoft</v>
      </c>
      <c r="W18">
        <f>VLOOKUP($E18,Фонд!$A$2:$H$7,COLUMN(Fact_Инвестиции!D18),0)</f>
        <v>0</v>
      </c>
      <c r="X18" t="str">
        <f>VLOOKUP($E18,Фонд!$A$2:$H$7,COLUMN(Fact_Инвестиции!E18),0)</f>
        <v>USD</v>
      </c>
      <c r="Y18">
        <f>VLOOKUP($E18,Фонд!$A$2:$H$7,COLUMN(Fact_Инвестиции!F18),0)</f>
        <v>0</v>
      </c>
      <c r="Z18">
        <f>VLOOKUP($B18,Время!$A$2:$G$25,COLUMN(Fact_Инвестиции!B18),0)</f>
        <v>45295</v>
      </c>
      <c r="AA18">
        <f>VLOOKUP($B18,Время!$A$2:$G$25,COLUMN(Fact_Инвестиции!C18),0)</f>
        <v>2024</v>
      </c>
      <c r="AB18">
        <f>VLOOKUP($B18,Время!$A$2:$G$25,COLUMN(Fact_Инвестиции!D18),0)</f>
        <v>2</v>
      </c>
      <c r="AC18">
        <f>VLOOKUP($B18,Время!$A$2:$G$25,COLUMN(Fact_Инвестиции!E18),0)</f>
        <v>4</v>
      </c>
      <c r="AD18">
        <f>VLOOKUP($B18,Время!$A$2:$G$25,COLUMN(Fact_Инвестиции!F18),0)</f>
        <v>1</v>
      </c>
      <c r="AE18" t="str">
        <f>VLOOKUP($B18,Время!$A$2:$G$25,COLUMN(Fact_Инвестиции!G18),0)</f>
        <v>Понедельник</v>
      </c>
    </row>
    <row r="19" spans="1:31">
      <c r="A19">
        <v>19</v>
      </c>
      <c r="B19">
        <v>20240415</v>
      </c>
      <c r="C19">
        <v>1</v>
      </c>
      <c r="D19">
        <v>3</v>
      </c>
      <c r="E19">
        <v>1</v>
      </c>
      <c r="F19" s="1">
        <v>28000</v>
      </c>
      <c r="G19" s="1">
        <v>1078.9000000000001</v>
      </c>
      <c r="H19" s="1">
        <v>30209200</v>
      </c>
      <c r="I19">
        <v>8.5</v>
      </c>
      <c r="J19" t="str">
        <f>VLOOKUP($D19,Инвестор!$A$2:$F$6,COLUMN(Fact_Инвестиции!B19),0)</f>
        <v>Физическое лицо</v>
      </c>
      <c r="K19" t="str">
        <f>VLOOKUP($D19,Инвестор!$A$2:$F$6,COLUMN(Fact_Инвестиции!C19),0)</f>
        <v>770123456789</v>
      </c>
      <c r="L19" t="str">
        <f>VLOOKUP($D19,Инвестор!$A$2:$F$6,COLUMN(Fact_Инвестиции!D19),0)</f>
        <v>Смирнова Мария Игоревна</v>
      </c>
      <c r="M19" t="str">
        <f>VLOOKUP($D19,Инвестор!$A$2:$F$6,COLUMN(Fact_Инвестиции!E19),0)</f>
        <v>Неквалифицированный</v>
      </c>
      <c r="N19" t="str">
        <f>VLOOKUP($D19,Инвестор!$A$2:$F$6,COLUMN(Fact_Инвестиции!F19),0)</f>
        <v>Новосибирск</v>
      </c>
      <c r="O19" t="str">
        <f>VLOOKUP($C19,Фонд!$A$2:$H$7,COLUMN(Fact_Инвестиции!B19),0)</f>
        <v>RU000A0JXYF1</v>
      </c>
      <c r="P19" t="str">
        <f>VLOOKUP($C19,Фонд!$A$2:$H$7,COLUMN(Fact_Инвестиции!C19),0)</f>
        <v>ОФЗ 26231</v>
      </c>
      <c r="Q19">
        <f>VLOOKUP($C19,Фонд!$A$2:$H$7,COLUMN(Fact_Инвестиции!D19),0)</f>
        <v>1000</v>
      </c>
      <c r="R19" t="str">
        <f>VLOOKUP($C19,Фонд!$A$2:$H$7,COLUMN(Fact_Инвестиции!E19),0)</f>
        <v>RUB</v>
      </c>
      <c r="S19">
        <f>VLOOKUP($C19,Фонд!$A$2:$H$7,COLUMN(Fact_Инвестиции!F19),0)</f>
        <v>47848</v>
      </c>
      <c r="T19" t="str">
        <f>VLOOKUP($C19,Фонд!$A$2:$H$7,COLUMN(Fact_Инвестиции!G19),0)</f>
        <v>Гос. облигация</v>
      </c>
      <c r="U19" t="str">
        <f>VLOOKUP($E19,Фонд!$A$2:$H$7,COLUMN(Fact_Инвестиции!B19),0)</f>
        <v>RU000A0JXYF1</v>
      </c>
      <c r="V19" t="str">
        <f>VLOOKUP($E19,Фонд!$A$2:$H$7,COLUMN(Fact_Инвестиции!C19),0)</f>
        <v>ОФЗ 26231</v>
      </c>
      <c r="W19">
        <f>VLOOKUP($E19,Фонд!$A$2:$H$7,COLUMN(Fact_Инвестиции!D19),0)</f>
        <v>1000</v>
      </c>
      <c r="X19" t="str">
        <f>VLOOKUP($E19,Фонд!$A$2:$H$7,COLUMN(Fact_Инвестиции!E19),0)</f>
        <v>RUB</v>
      </c>
      <c r="Y19">
        <f>VLOOKUP($E19,Фонд!$A$2:$H$7,COLUMN(Fact_Инвестиции!F19),0)</f>
        <v>47848</v>
      </c>
      <c r="Z19">
        <f>VLOOKUP($B19,Время!$A$2:$G$25,COLUMN(Fact_Инвестиции!B19),0)</f>
        <v>45397</v>
      </c>
      <c r="AA19">
        <f>VLOOKUP($B19,Время!$A$2:$G$25,COLUMN(Fact_Инвестиции!C19),0)</f>
        <v>2024</v>
      </c>
      <c r="AB19">
        <f>VLOOKUP($B19,Время!$A$2:$G$25,COLUMN(Fact_Инвестиции!D19),0)</f>
        <v>2</v>
      </c>
      <c r="AC19">
        <f>VLOOKUP($B19,Время!$A$2:$G$25,COLUMN(Fact_Инвестиции!E19),0)</f>
        <v>4</v>
      </c>
      <c r="AD19">
        <f>VLOOKUP($B19,Время!$A$2:$G$25,COLUMN(Fact_Инвестиции!F19),0)</f>
        <v>15</v>
      </c>
      <c r="AE19" t="str">
        <f>VLOOKUP($B19,Время!$A$2:$G$25,COLUMN(Fact_Инвестиции!G19),0)</f>
        <v>Понедельник</v>
      </c>
    </row>
    <row r="20" spans="1:31">
      <c r="A20">
        <v>20</v>
      </c>
      <c r="B20">
        <v>20240501</v>
      </c>
      <c r="C20">
        <v>2</v>
      </c>
      <c r="D20">
        <v>4</v>
      </c>
      <c r="E20">
        <v>2</v>
      </c>
      <c r="F20" s="1">
        <v>58000</v>
      </c>
      <c r="G20" s="1">
        <v>2163.4</v>
      </c>
      <c r="H20" s="1">
        <v>125477200</v>
      </c>
      <c r="I20">
        <v>9.8000000000000007</v>
      </c>
      <c r="J20" t="str">
        <f>VLOOKUP($D20,Инвестор!$A$2:$F$6,COLUMN(Fact_Инвестиции!B20),0)</f>
        <v>Юридическое лицо</v>
      </c>
      <c r="K20" t="str">
        <f>VLOOKUP($D20,Инвестор!$A$2:$F$6,COLUMN(Fact_Инвестиции!C20),0)</f>
        <v>770187654321</v>
      </c>
      <c r="L20" t="str">
        <f>VLOOKUP($D20,Инвестор!$A$2:$F$6,COLUMN(Fact_Инвестиции!D20),0)</f>
        <v>АО "КапиталТраст"</v>
      </c>
      <c r="M20" t="str">
        <f>VLOOKUP($D20,Инвестор!$A$2:$F$6,COLUMN(Fact_Инвестиции!E20),0)</f>
        <v>Профессиональный</v>
      </c>
      <c r="N20" t="str">
        <f>VLOOKUP($D20,Инвестор!$A$2:$F$6,COLUMN(Fact_Инвестиции!F20),0)</f>
        <v>Москва</v>
      </c>
      <c r="O20" t="str">
        <f>VLOOKUP($C20,Фонд!$A$2:$H$7,COLUMN(Fact_Инвестиции!B20),0)</f>
        <v>RU000A0JX0F2</v>
      </c>
      <c r="P20" t="str">
        <f>VLOOKUP($C20,Фонд!$A$2:$H$7,COLUMN(Fact_Инвестиции!C20),0)</f>
        <v>Газпромбанк-10</v>
      </c>
      <c r="Q20">
        <f>VLOOKUP($C20,Фонд!$A$2:$H$7,COLUMN(Fact_Инвестиции!D20),0)</f>
        <v>1000</v>
      </c>
      <c r="R20" t="str">
        <f>VLOOKUP($C20,Фонд!$A$2:$H$7,COLUMN(Fact_Инвестиции!E20),0)</f>
        <v>RUB</v>
      </c>
      <c r="S20">
        <f>VLOOKUP($C20,Фонд!$A$2:$H$7,COLUMN(Fact_Инвестиции!F20),0)</f>
        <v>46888</v>
      </c>
      <c r="T20" t="str">
        <f>VLOOKUP($C20,Фонд!$A$2:$H$7,COLUMN(Fact_Инвестиции!G20),0)</f>
        <v>Корп. облигация</v>
      </c>
      <c r="U20" t="str">
        <f>VLOOKUP($E20,Фонд!$A$2:$H$7,COLUMN(Fact_Инвестиции!B20),0)</f>
        <v>RU000A0JX0F2</v>
      </c>
      <c r="V20" t="str">
        <f>VLOOKUP($E20,Фонд!$A$2:$H$7,COLUMN(Fact_Инвестиции!C20),0)</f>
        <v>Газпромбанк-10</v>
      </c>
      <c r="W20">
        <f>VLOOKUP($E20,Фонд!$A$2:$H$7,COLUMN(Fact_Инвестиции!D20),0)</f>
        <v>1000</v>
      </c>
      <c r="X20" t="str">
        <f>VLOOKUP($E20,Фонд!$A$2:$H$7,COLUMN(Fact_Инвестиции!E20),0)</f>
        <v>RUB</v>
      </c>
      <c r="Y20">
        <f>VLOOKUP($E20,Фонд!$A$2:$H$7,COLUMN(Fact_Инвестиции!F20),0)</f>
        <v>46888</v>
      </c>
      <c r="Z20">
        <f>VLOOKUP($B20,Время!$A$2:$G$25,COLUMN(Fact_Инвестиции!B20),0)</f>
        <v>45296</v>
      </c>
      <c r="AA20">
        <f>VLOOKUP($B20,Время!$A$2:$G$25,COLUMN(Fact_Инвестиции!C20),0)</f>
        <v>2024</v>
      </c>
      <c r="AB20">
        <f>VLOOKUP($B20,Время!$A$2:$G$25,COLUMN(Fact_Инвестиции!D20),0)</f>
        <v>2</v>
      </c>
      <c r="AC20">
        <f>VLOOKUP($B20,Время!$A$2:$G$25,COLUMN(Fact_Инвестиции!E20),0)</f>
        <v>5</v>
      </c>
      <c r="AD20">
        <f>VLOOKUP($B20,Время!$A$2:$G$25,COLUMN(Fact_Инвестиции!F20),0)</f>
        <v>1</v>
      </c>
      <c r="AE20" t="str">
        <f>VLOOKUP($B20,Время!$A$2:$G$25,COLUMN(Fact_Инвестиции!G20),0)</f>
        <v>Среда</v>
      </c>
    </row>
    <row r="21" spans="1:31">
      <c r="A21">
        <v>21</v>
      </c>
      <c r="B21">
        <v>20240501</v>
      </c>
      <c r="C21">
        <v>3</v>
      </c>
      <c r="D21">
        <v>5</v>
      </c>
      <c r="E21">
        <v>3</v>
      </c>
      <c r="F21" s="1">
        <v>10000</v>
      </c>
      <c r="G21" s="1">
        <v>205.8</v>
      </c>
      <c r="H21" s="1">
        <v>2058000</v>
      </c>
      <c r="I21">
        <v>15.2</v>
      </c>
      <c r="J21" t="str">
        <f>VLOOKUP($D21,Инвестор!$A$2:$F$6,COLUMN(Fact_Инвестиции!B21),0)</f>
        <v>Физическое лицо</v>
      </c>
      <c r="K21" t="str">
        <f>VLOOKUP($D21,Инвестор!$A$2:$F$6,COLUMN(Fact_Инвестиции!C21),0)</f>
        <v>770134567890</v>
      </c>
      <c r="L21" t="str">
        <f>VLOOKUP($D21,Инвестор!$A$2:$F$6,COLUMN(Fact_Инвестиции!D21),0)</f>
        <v>Кузнецов Дмитрий Сергеевич</v>
      </c>
      <c r="M21" t="str">
        <f>VLOOKUP($D21,Инвестор!$A$2:$F$6,COLUMN(Fact_Инвестиции!E21),0)</f>
        <v>Квалифицированный</v>
      </c>
      <c r="N21" t="str">
        <f>VLOOKUP($D21,Инвестор!$A$2:$F$6,COLUMN(Fact_Инвестиции!F21),0)</f>
        <v>Екатеринбург</v>
      </c>
      <c r="O21" t="str">
        <f>VLOOKUP($C21,Фонд!$A$2:$H$7,COLUMN(Fact_Инвестиции!B21),0)</f>
        <v>US0378331005</v>
      </c>
      <c r="P21" t="str">
        <f>VLOOKUP($C21,Фонд!$A$2:$H$7,COLUMN(Fact_Инвестиции!C21),0)</f>
        <v>Apple</v>
      </c>
      <c r="Q21">
        <f>VLOOKUP($C21,Фонд!$A$2:$H$7,COLUMN(Fact_Инвестиции!D21),0)</f>
        <v>0</v>
      </c>
      <c r="R21" t="str">
        <f>VLOOKUP($C21,Фонд!$A$2:$H$7,COLUMN(Fact_Инвестиции!E21),0)</f>
        <v>USD</v>
      </c>
      <c r="S21">
        <f>VLOOKUP($C21,Фонд!$A$2:$H$7,COLUMN(Fact_Инвестиции!F21),0)</f>
        <v>0</v>
      </c>
      <c r="T21" t="str">
        <f>VLOOKUP($C21,Фонд!$A$2:$H$7,COLUMN(Fact_Инвестиции!G21),0)</f>
        <v>Акция</v>
      </c>
      <c r="U21" t="str">
        <f>VLOOKUP($E21,Фонд!$A$2:$H$7,COLUMN(Fact_Инвестиции!B21),0)</f>
        <v>US0378331005</v>
      </c>
      <c r="V21" t="str">
        <f>VLOOKUP($E21,Фонд!$A$2:$H$7,COLUMN(Fact_Инвестиции!C21),0)</f>
        <v>Apple</v>
      </c>
      <c r="W21">
        <f>VLOOKUP($E21,Фонд!$A$2:$H$7,COLUMN(Fact_Инвестиции!D21),0)</f>
        <v>0</v>
      </c>
      <c r="X21" t="str">
        <f>VLOOKUP($E21,Фонд!$A$2:$H$7,COLUMN(Fact_Инвестиции!E21),0)</f>
        <v>USD</v>
      </c>
      <c r="Y21">
        <f>VLOOKUP($E21,Фонд!$A$2:$H$7,COLUMN(Fact_Инвестиции!F21),0)</f>
        <v>0</v>
      </c>
      <c r="Z21">
        <f>VLOOKUP($B21,Время!$A$2:$G$25,COLUMN(Fact_Инвестиции!B21),0)</f>
        <v>45296</v>
      </c>
      <c r="AA21">
        <f>VLOOKUP($B21,Время!$A$2:$G$25,COLUMN(Fact_Инвестиции!C21),0)</f>
        <v>2024</v>
      </c>
      <c r="AB21">
        <f>VLOOKUP($B21,Время!$A$2:$G$25,COLUMN(Fact_Инвестиции!D21),0)</f>
        <v>2</v>
      </c>
      <c r="AC21">
        <f>VLOOKUP($B21,Время!$A$2:$G$25,COLUMN(Fact_Инвестиции!E21),0)</f>
        <v>5</v>
      </c>
      <c r="AD21">
        <f>VLOOKUP($B21,Время!$A$2:$G$25,COLUMN(Fact_Инвестиции!F21),0)</f>
        <v>1</v>
      </c>
      <c r="AE21" t="str">
        <f>VLOOKUP($B21,Время!$A$2:$G$25,COLUMN(Fact_Инвестиции!G21),0)</f>
        <v>Среда</v>
      </c>
    </row>
    <row r="22" spans="1:31">
      <c r="A22">
        <v>22</v>
      </c>
      <c r="B22">
        <v>20240515</v>
      </c>
      <c r="C22">
        <v>4</v>
      </c>
      <c r="D22">
        <v>1</v>
      </c>
      <c r="E22">
        <v>4</v>
      </c>
      <c r="F22" s="1">
        <v>20000</v>
      </c>
      <c r="G22" s="1">
        <v>3315.75</v>
      </c>
      <c r="H22" s="1">
        <v>66315000</v>
      </c>
      <c r="I22">
        <v>8.1999999999999993</v>
      </c>
      <c r="J22" t="str">
        <f>VLOOKUP($D22,Инвестор!$A$2:$F$6,COLUMN(Fact_Инвестиции!B22),0)</f>
        <v>Физическое лицо</v>
      </c>
      <c r="K22" t="str">
        <f>VLOOKUP($D22,Инвестор!$A$2:$F$6,COLUMN(Fact_Инвестиции!C22),0)</f>
        <v>770112345678</v>
      </c>
      <c r="L22" t="str">
        <f>VLOOKUP($D22,Инвестор!$A$2:$F$6,COLUMN(Fact_Инвестиции!D22),0)</f>
        <v>Иванов Алексей Петрович</v>
      </c>
      <c r="M22" t="str">
        <f>VLOOKUP($D22,Инвестор!$A$2:$F$6,COLUMN(Fact_Инвестиции!E22),0)</f>
        <v>Квалифицированный</v>
      </c>
      <c r="N22" t="str">
        <f>VLOOKUP($D22,Инвестор!$A$2:$F$6,COLUMN(Fact_Инвестиции!F22),0)</f>
        <v>Москва</v>
      </c>
      <c r="O22" t="str">
        <f>VLOOKUP($C22,Фонд!$A$2:$H$7,COLUMN(Fact_Инвестиции!B22),0)</f>
        <v>US5949181045</v>
      </c>
      <c r="P22" t="str">
        <f>VLOOKUP($C22,Фонд!$A$2:$H$7,COLUMN(Fact_Инвестиции!C22),0)</f>
        <v>Microsoft</v>
      </c>
      <c r="Q22">
        <f>VLOOKUP($C22,Фонд!$A$2:$H$7,COLUMN(Fact_Инвестиции!D22),0)</f>
        <v>0</v>
      </c>
      <c r="R22" t="str">
        <f>VLOOKUP($C22,Фонд!$A$2:$H$7,COLUMN(Fact_Инвестиции!E22),0)</f>
        <v>USD</v>
      </c>
      <c r="S22">
        <f>VLOOKUP($C22,Фонд!$A$2:$H$7,COLUMN(Fact_Инвестиции!F22),0)</f>
        <v>0</v>
      </c>
      <c r="T22" t="str">
        <f>VLOOKUP($C22,Фонд!$A$2:$H$7,COLUMN(Fact_Инвестиции!G22),0)</f>
        <v>Акция</v>
      </c>
      <c r="U22" t="str">
        <f>VLOOKUP($E22,Фонд!$A$2:$H$7,COLUMN(Fact_Инвестиции!B22),0)</f>
        <v>US5949181045</v>
      </c>
      <c r="V22" t="str">
        <f>VLOOKUP($E22,Фонд!$A$2:$H$7,COLUMN(Fact_Инвестиции!C22),0)</f>
        <v>Microsoft</v>
      </c>
      <c r="W22">
        <f>VLOOKUP($E22,Фонд!$A$2:$H$7,COLUMN(Fact_Инвестиции!D22),0)</f>
        <v>0</v>
      </c>
      <c r="X22" t="str">
        <f>VLOOKUP($E22,Фонд!$A$2:$H$7,COLUMN(Fact_Инвестиции!E22),0)</f>
        <v>USD</v>
      </c>
      <c r="Y22">
        <f>VLOOKUP($E22,Фонд!$A$2:$H$7,COLUMN(Fact_Инвестиции!F22),0)</f>
        <v>0</v>
      </c>
      <c r="Z22">
        <f>VLOOKUP($B22,Время!$A$2:$G$25,COLUMN(Fact_Инвестиции!B22),0)</f>
        <v>45427</v>
      </c>
      <c r="AA22">
        <f>VLOOKUP($B22,Время!$A$2:$G$25,COLUMN(Fact_Инвестиции!C22),0)</f>
        <v>2024</v>
      </c>
      <c r="AB22">
        <f>VLOOKUP($B22,Время!$A$2:$G$25,COLUMN(Fact_Инвестиции!D22),0)</f>
        <v>2</v>
      </c>
      <c r="AC22">
        <f>VLOOKUP($B22,Время!$A$2:$G$25,COLUMN(Fact_Инвестиции!E22),0)</f>
        <v>5</v>
      </c>
      <c r="AD22">
        <f>VLOOKUP($B22,Время!$A$2:$G$25,COLUMN(Fact_Инвестиции!F22),0)</f>
        <v>15</v>
      </c>
      <c r="AE22" t="str">
        <f>VLOOKUP($B22,Время!$A$2:$G$25,COLUMN(Fact_Инвестиции!G22),0)</f>
        <v>Среда</v>
      </c>
    </row>
    <row r="23" spans="1:31">
      <c r="A23">
        <v>23</v>
      </c>
      <c r="B23">
        <v>20240601</v>
      </c>
      <c r="C23">
        <v>1</v>
      </c>
      <c r="D23">
        <v>2</v>
      </c>
      <c r="E23">
        <v>1</v>
      </c>
      <c r="F23" s="1">
        <v>30000</v>
      </c>
      <c r="G23" s="1">
        <v>1085.5999999999999</v>
      </c>
      <c r="H23" s="1">
        <v>32568000</v>
      </c>
      <c r="I23">
        <v>8.8000000000000007</v>
      </c>
      <c r="J23" t="str">
        <f>VLOOKUP($D23,Инвестор!$A$2:$F$6,COLUMN(Fact_Инвестиции!B23),0)</f>
        <v>Юридическое лицо</v>
      </c>
      <c r="K23" t="str">
        <f>VLOOKUP($D23,Инвестор!$A$2:$F$6,COLUMN(Fact_Инвестиции!C23),0)</f>
        <v>770198765432</v>
      </c>
      <c r="L23" t="str">
        <f>VLOOKUP($D23,Инвестор!$A$2:$F$6,COLUMN(Fact_Инвестиции!D23),0)</f>
        <v>ООО "ИнвестПро"</v>
      </c>
      <c r="M23" t="str">
        <f>VLOOKUP($D23,Инвестор!$A$2:$F$6,COLUMN(Fact_Инвестиции!E23),0)</f>
        <v>Профессиональный</v>
      </c>
      <c r="N23" t="str">
        <f>VLOOKUP($D23,Инвестор!$A$2:$F$6,COLUMN(Fact_Инвестиции!F23),0)</f>
        <v>Санкт-Петербург</v>
      </c>
      <c r="O23" t="str">
        <f>VLOOKUP($C23,Фонд!$A$2:$H$7,COLUMN(Fact_Инвестиции!B23),0)</f>
        <v>RU000A0JXYF1</v>
      </c>
      <c r="P23" t="str">
        <f>VLOOKUP($C23,Фонд!$A$2:$H$7,COLUMN(Fact_Инвестиции!C23),0)</f>
        <v>ОФЗ 26231</v>
      </c>
      <c r="Q23">
        <f>VLOOKUP($C23,Фонд!$A$2:$H$7,COLUMN(Fact_Инвестиции!D23),0)</f>
        <v>1000</v>
      </c>
      <c r="R23" t="str">
        <f>VLOOKUP($C23,Фонд!$A$2:$H$7,COLUMN(Fact_Инвестиции!E23),0)</f>
        <v>RUB</v>
      </c>
      <c r="S23">
        <f>VLOOKUP($C23,Фонд!$A$2:$H$7,COLUMN(Fact_Инвестиции!F23),0)</f>
        <v>47848</v>
      </c>
      <c r="T23" t="str">
        <f>VLOOKUP($C23,Фонд!$A$2:$H$7,COLUMN(Fact_Инвестиции!G23),0)</f>
        <v>Гос. облигация</v>
      </c>
      <c r="U23" t="str">
        <f>VLOOKUP($E23,Фонд!$A$2:$H$7,COLUMN(Fact_Инвестиции!B23),0)</f>
        <v>RU000A0JXYF1</v>
      </c>
      <c r="V23" t="str">
        <f>VLOOKUP($E23,Фонд!$A$2:$H$7,COLUMN(Fact_Инвестиции!C23),0)</f>
        <v>ОФЗ 26231</v>
      </c>
      <c r="W23">
        <f>VLOOKUP($E23,Фонд!$A$2:$H$7,COLUMN(Fact_Инвестиции!D23),0)</f>
        <v>1000</v>
      </c>
      <c r="X23" t="str">
        <f>VLOOKUP($E23,Фонд!$A$2:$H$7,COLUMN(Fact_Инвестиции!E23),0)</f>
        <v>RUB</v>
      </c>
      <c r="Y23">
        <f>VLOOKUP($E23,Фонд!$A$2:$H$7,COLUMN(Fact_Инвестиции!F23),0)</f>
        <v>47848</v>
      </c>
      <c r="Z23">
        <f>VLOOKUP($B23,Время!$A$2:$G$25,COLUMN(Fact_Инвестиции!B23),0)</f>
        <v>45297</v>
      </c>
      <c r="AA23">
        <f>VLOOKUP($B23,Время!$A$2:$G$25,COLUMN(Fact_Инвестиции!C23),0)</f>
        <v>2024</v>
      </c>
      <c r="AB23">
        <f>VLOOKUP($B23,Время!$A$2:$G$25,COLUMN(Fact_Инвестиции!D23),0)</f>
        <v>2</v>
      </c>
      <c r="AC23">
        <f>VLOOKUP($B23,Время!$A$2:$G$25,COLUMN(Fact_Инвестиции!E23),0)</f>
        <v>6</v>
      </c>
      <c r="AD23">
        <f>VLOOKUP($B23,Время!$A$2:$G$25,COLUMN(Fact_Инвестиции!F23),0)</f>
        <v>1</v>
      </c>
      <c r="AE23" t="str">
        <f>VLOOKUP($B23,Время!$A$2:$G$25,COLUMN(Fact_Инвестиции!G23),0)</f>
        <v>Суббота</v>
      </c>
    </row>
    <row r="24" spans="1:31">
      <c r="A24">
        <v>24</v>
      </c>
      <c r="B24">
        <v>20240615</v>
      </c>
      <c r="C24">
        <v>2</v>
      </c>
      <c r="D24">
        <v>3</v>
      </c>
      <c r="E24">
        <v>2</v>
      </c>
      <c r="F24" s="1">
        <v>60000</v>
      </c>
      <c r="G24" s="1">
        <v>2182.9</v>
      </c>
      <c r="H24" s="1">
        <v>130974000</v>
      </c>
      <c r="I24">
        <v>10.1</v>
      </c>
      <c r="J24" t="str">
        <f>VLOOKUP($D24,Инвестор!$A$2:$F$6,COLUMN(Fact_Инвестиции!B24),0)</f>
        <v>Физическое лицо</v>
      </c>
      <c r="K24" t="str">
        <f>VLOOKUP($D24,Инвестор!$A$2:$F$6,COLUMN(Fact_Инвестиции!C24),0)</f>
        <v>770123456789</v>
      </c>
      <c r="L24" t="str">
        <f>VLOOKUP($D24,Инвестор!$A$2:$F$6,COLUMN(Fact_Инвестиции!D24),0)</f>
        <v>Смирнова Мария Игоревна</v>
      </c>
      <c r="M24" t="str">
        <f>VLOOKUP($D24,Инвестор!$A$2:$F$6,COLUMN(Fact_Инвестиции!E24),0)</f>
        <v>Неквалифицированный</v>
      </c>
      <c r="N24" t="str">
        <f>VLOOKUP($D24,Инвестор!$A$2:$F$6,COLUMN(Fact_Инвестиции!F24),0)</f>
        <v>Новосибирск</v>
      </c>
      <c r="O24" t="str">
        <f>VLOOKUP($C24,Фонд!$A$2:$H$7,COLUMN(Fact_Инвестиции!B24),0)</f>
        <v>RU000A0JX0F2</v>
      </c>
      <c r="P24" t="str">
        <f>VLOOKUP($C24,Фонд!$A$2:$H$7,COLUMN(Fact_Инвестиции!C24),0)</f>
        <v>Газпромбанк-10</v>
      </c>
      <c r="Q24">
        <f>VLOOKUP($C24,Фонд!$A$2:$H$7,COLUMN(Fact_Инвестиции!D24),0)</f>
        <v>1000</v>
      </c>
      <c r="R24" t="str">
        <f>VLOOKUP($C24,Фонд!$A$2:$H$7,COLUMN(Fact_Инвестиции!E24),0)</f>
        <v>RUB</v>
      </c>
      <c r="S24">
        <f>VLOOKUP($C24,Фонд!$A$2:$H$7,COLUMN(Fact_Инвестиции!F24),0)</f>
        <v>46888</v>
      </c>
      <c r="T24" t="str">
        <f>VLOOKUP($C24,Фонд!$A$2:$H$7,COLUMN(Fact_Инвестиции!G24),0)</f>
        <v>Корп. облигация</v>
      </c>
      <c r="U24" t="str">
        <f>VLOOKUP($E24,Фонд!$A$2:$H$7,COLUMN(Fact_Инвестиции!B24),0)</f>
        <v>RU000A0JX0F2</v>
      </c>
      <c r="V24" t="str">
        <f>VLOOKUP($E24,Фонд!$A$2:$H$7,COLUMN(Fact_Инвестиции!C24),0)</f>
        <v>Газпромбанк-10</v>
      </c>
      <c r="W24">
        <f>VLOOKUP($E24,Фонд!$A$2:$H$7,COLUMN(Fact_Инвестиции!D24),0)</f>
        <v>1000</v>
      </c>
      <c r="X24" t="str">
        <f>VLOOKUP($E24,Фонд!$A$2:$H$7,COLUMN(Fact_Инвестиции!E24),0)</f>
        <v>RUB</v>
      </c>
      <c r="Y24">
        <f>VLOOKUP($E24,Фонд!$A$2:$H$7,COLUMN(Fact_Инвестиции!F24),0)</f>
        <v>46888</v>
      </c>
      <c r="Z24">
        <f>VLOOKUP($B24,Время!$A$2:$G$25,COLUMN(Fact_Инвестиции!B24),0)</f>
        <v>45458</v>
      </c>
      <c r="AA24">
        <f>VLOOKUP($B24,Время!$A$2:$G$25,COLUMN(Fact_Инвестиции!C24),0)</f>
        <v>2024</v>
      </c>
      <c r="AB24">
        <f>VLOOKUP($B24,Время!$A$2:$G$25,COLUMN(Fact_Инвестиции!D24),0)</f>
        <v>2</v>
      </c>
      <c r="AC24">
        <f>VLOOKUP($B24,Время!$A$2:$G$25,COLUMN(Fact_Инвестиции!E24),0)</f>
        <v>6</v>
      </c>
      <c r="AD24">
        <f>VLOOKUP($B24,Время!$A$2:$G$25,COLUMN(Fact_Инвестиции!F24),0)</f>
        <v>15</v>
      </c>
      <c r="AE24" t="str">
        <f>VLOOKUP($B24,Время!$A$2:$G$25,COLUMN(Fact_Инвестиции!G24),0)</f>
        <v>Суббота</v>
      </c>
    </row>
    <row r="25" spans="1:31">
      <c r="A25">
        <v>25</v>
      </c>
      <c r="B25">
        <v>20240701</v>
      </c>
      <c r="C25">
        <v>3</v>
      </c>
      <c r="D25">
        <v>4</v>
      </c>
      <c r="E25">
        <v>3</v>
      </c>
      <c r="F25" s="1">
        <v>11000</v>
      </c>
      <c r="G25" s="1">
        <v>210.25</v>
      </c>
      <c r="H25" s="1">
        <v>2312750</v>
      </c>
      <c r="I25">
        <v>15.9</v>
      </c>
      <c r="J25" t="str">
        <f>VLOOKUP($D25,Инвестор!$A$2:$F$6,COLUMN(Fact_Инвестиции!B25),0)</f>
        <v>Юридическое лицо</v>
      </c>
      <c r="K25" t="str">
        <f>VLOOKUP($D25,Инвестор!$A$2:$F$6,COLUMN(Fact_Инвестиции!C25),0)</f>
        <v>770187654321</v>
      </c>
      <c r="L25" t="str">
        <f>VLOOKUP($D25,Инвестор!$A$2:$F$6,COLUMN(Fact_Инвестиции!D25),0)</f>
        <v>АО "КапиталТраст"</v>
      </c>
      <c r="M25" t="str">
        <f>VLOOKUP($D25,Инвестор!$A$2:$F$6,COLUMN(Fact_Инвестиции!E25),0)</f>
        <v>Профессиональный</v>
      </c>
      <c r="N25" t="str">
        <f>VLOOKUP($D25,Инвестор!$A$2:$F$6,COLUMN(Fact_Инвестиции!F25),0)</f>
        <v>Москва</v>
      </c>
      <c r="O25" t="str">
        <f>VLOOKUP($C25,Фонд!$A$2:$H$7,COLUMN(Fact_Инвестиции!B25),0)</f>
        <v>US0378331005</v>
      </c>
      <c r="P25" t="str">
        <f>VLOOKUP($C25,Фонд!$A$2:$H$7,COLUMN(Fact_Инвестиции!C25),0)</f>
        <v>Apple</v>
      </c>
      <c r="Q25">
        <f>VLOOKUP($C25,Фонд!$A$2:$H$7,COLUMN(Fact_Инвестиции!D25),0)</f>
        <v>0</v>
      </c>
      <c r="R25" t="str">
        <f>VLOOKUP($C25,Фонд!$A$2:$H$7,COLUMN(Fact_Инвестиции!E25),0)</f>
        <v>USD</v>
      </c>
      <c r="S25">
        <f>VLOOKUP($C25,Фонд!$A$2:$H$7,COLUMN(Fact_Инвестиции!F25),0)</f>
        <v>0</v>
      </c>
      <c r="T25" t="str">
        <f>VLOOKUP($C25,Фонд!$A$2:$H$7,COLUMN(Fact_Инвестиции!G25),0)</f>
        <v>Акция</v>
      </c>
      <c r="U25" t="str">
        <f>VLOOKUP($E25,Фонд!$A$2:$H$7,COLUMN(Fact_Инвестиции!B25),0)</f>
        <v>US0378331005</v>
      </c>
      <c r="V25" t="str">
        <f>VLOOKUP($E25,Фонд!$A$2:$H$7,COLUMN(Fact_Инвестиции!C25),0)</f>
        <v>Apple</v>
      </c>
      <c r="W25">
        <f>VLOOKUP($E25,Фонд!$A$2:$H$7,COLUMN(Fact_Инвестиции!D25),0)</f>
        <v>0</v>
      </c>
      <c r="X25" t="str">
        <f>VLOOKUP($E25,Фонд!$A$2:$H$7,COLUMN(Fact_Инвестиции!E25),0)</f>
        <v>USD</v>
      </c>
      <c r="Y25">
        <f>VLOOKUP($E25,Фонд!$A$2:$H$7,COLUMN(Fact_Инвестиции!F25),0)</f>
        <v>0</v>
      </c>
      <c r="Z25">
        <f>VLOOKUP($B25,Время!$A$2:$G$25,COLUMN(Fact_Инвестиции!B25),0)</f>
        <v>45298</v>
      </c>
      <c r="AA25">
        <f>VLOOKUP($B25,Время!$A$2:$G$25,COLUMN(Fact_Инвестиции!C25),0)</f>
        <v>2024</v>
      </c>
      <c r="AB25">
        <f>VLOOKUP($B25,Время!$A$2:$G$25,COLUMN(Fact_Инвестиции!D25),0)</f>
        <v>3</v>
      </c>
      <c r="AC25">
        <f>VLOOKUP($B25,Время!$A$2:$G$25,COLUMN(Fact_Инвестиции!E25),0)</f>
        <v>7</v>
      </c>
      <c r="AD25">
        <f>VLOOKUP($B25,Время!$A$2:$G$25,COLUMN(Fact_Инвестиции!F25),0)</f>
        <v>1</v>
      </c>
      <c r="AE25" t="str">
        <f>VLOOKUP($B25,Время!$A$2:$G$25,COLUMN(Fact_Инвестиции!G25),0)</f>
        <v>Понедельник</v>
      </c>
    </row>
    <row r="26" spans="1:31">
      <c r="A26">
        <v>26</v>
      </c>
      <c r="B26">
        <v>20240715</v>
      </c>
      <c r="C26">
        <v>4</v>
      </c>
      <c r="D26">
        <v>5</v>
      </c>
      <c r="E26">
        <v>4</v>
      </c>
      <c r="F26" s="1">
        <v>22000</v>
      </c>
      <c r="G26" s="1">
        <v>3350</v>
      </c>
      <c r="H26" s="1">
        <v>73700000</v>
      </c>
      <c r="I26">
        <v>8.6</v>
      </c>
      <c r="J26" t="str">
        <f>VLOOKUP($D26,Инвестор!$A$2:$F$6,COLUMN(Fact_Инвестиции!B26),0)</f>
        <v>Физическое лицо</v>
      </c>
      <c r="K26" t="str">
        <f>VLOOKUP($D26,Инвестор!$A$2:$F$6,COLUMN(Fact_Инвестиции!C26),0)</f>
        <v>770134567890</v>
      </c>
      <c r="L26" t="str">
        <f>VLOOKUP($D26,Инвестор!$A$2:$F$6,COLUMN(Fact_Инвестиции!D26),0)</f>
        <v>Кузнецов Дмитрий Сергеевич</v>
      </c>
      <c r="M26" t="str">
        <f>VLOOKUP($D26,Инвестор!$A$2:$F$6,COLUMN(Fact_Инвестиции!E26),0)</f>
        <v>Квалифицированный</v>
      </c>
      <c r="N26" t="str">
        <f>VLOOKUP($D26,Инвестор!$A$2:$F$6,COLUMN(Fact_Инвестиции!F26),0)</f>
        <v>Екатеринбург</v>
      </c>
      <c r="O26" t="str">
        <f>VLOOKUP($C26,Фонд!$A$2:$H$7,COLUMN(Fact_Инвестиции!B26),0)</f>
        <v>US5949181045</v>
      </c>
      <c r="P26" t="str">
        <f>VLOOKUP($C26,Фонд!$A$2:$H$7,COLUMN(Fact_Инвестиции!C26),0)</f>
        <v>Microsoft</v>
      </c>
      <c r="Q26">
        <f>VLOOKUP($C26,Фонд!$A$2:$H$7,COLUMN(Fact_Инвестиции!D26),0)</f>
        <v>0</v>
      </c>
      <c r="R26" t="str">
        <f>VLOOKUP($C26,Фонд!$A$2:$H$7,COLUMN(Fact_Инвестиции!E26),0)</f>
        <v>USD</v>
      </c>
      <c r="S26">
        <f>VLOOKUP($C26,Фонд!$A$2:$H$7,COLUMN(Fact_Инвестиции!F26),0)</f>
        <v>0</v>
      </c>
      <c r="T26" t="str">
        <f>VLOOKUP($C26,Фонд!$A$2:$H$7,COLUMN(Fact_Инвестиции!G26),0)</f>
        <v>Акция</v>
      </c>
      <c r="U26" t="str">
        <f>VLOOKUP($E26,Фонд!$A$2:$H$7,COLUMN(Fact_Инвестиции!B26),0)</f>
        <v>US5949181045</v>
      </c>
      <c r="V26" t="str">
        <f>VLOOKUP($E26,Фонд!$A$2:$H$7,COLUMN(Fact_Инвестиции!C26),0)</f>
        <v>Microsoft</v>
      </c>
      <c r="W26">
        <f>VLOOKUP($E26,Фонд!$A$2:$H$7,COLUMN(Fact_Инвестиции!D26),0)</f>
        <v>0</v>
      </c>
      <c r="X26" t="str">
        <f>VLOOKUP($E26,Фонд!$A$2:$H$7,COLUMN(Fact_Инвестиции!E26),0)</f>
        <v>USD</v>
      </c>
      <c r="Y26">
        <f>VLOOKUP($E26,Фонд!$A$2:$H$7,COLUMN(Fact_Инвестиции!F26),0)</f>
        <v>0</v>
      </c>
      <c r="Z26">
        <f>VLOOKUP($B26,Время!$A$2:$G$25,COLUMN(Fact_Инвестиции!B26),0)</f>
        <v>45488</v>
      </c>
      <c r="AA26">
        <f>VLOOKUP($B26,Время!$A$2:$G$25,COLUMN(Fact_Инвестиции!C26),0)</f>
        <v>2024</v>
      </c>
      <c r="AB26">
        <f>VLOOKUP($B26,Время!$A$2:$G$25,COLUMN(Fact_Инвестиции!D26),0)</f>
        <v>3</v>
      </c>
      <c r="AC26">
        <f>VLOOKUP($B26,Время!$A$2:$G$25,COLUMN(Fact_Инвестиции!E26),0)</f>
        <v>7</v>
      </c>
      <c r="AD26">
        <f>VLOOKUP($B26,Время!$A$2:$G$25,COLUMN(Fact_Инвестиции!F26),0)</f>
        <v>15</v>
      </c>
      <c r="AE26" t="str">
        <f>VLOOKUP($B26,Время!$A$2:$G$25,COLUMN(Fact_Инвестиции!G26),0)</f>
        <v>Понедельник</v>
      </c>
    </row>
    <row r="27" spans="1:31">
      <c r="A27">
        <v>27</v>
      </c>
      <c r="B27">
        <v>20240801</v>
      </c>
      <c r="C27">
        <v>1</v>
      </c>
      <c r="D27">
        <v>1</v>
      </c>
      <c r="E27">
        <v>1</v>
      </c>
      <c r="F27" s="1">
        <v>35000</v>
      </c>
      <c r="G27" s="1">
        <v>1095.3</v>
      </c>
      <c r="H27" s="1">
        <v>38335500</v>
      </c>
      <c r="I27">
        <v>9.1999999999999993</v>
      </c>
      <c r="J27" t="str">
        <f>VLOOKUP($D27,Инвестор!$A$2:$F$6,COLUMN(Fact_Инвестиции!B27),0)</f>
        <v>Физическое лицо</v>
      </c>
      <c r="K27" t="str">
        <f>VLOOKUP($D27,Инвестор!$A$2:$F$6,COLUMN(Fact_Инвестиции!C27),0)</f>
        <v>770112345678</v>
      </c>
      <c r="L27" t="str">
        <f>VLOOKUP($D27,Инвестор!$A$2:$F$6,COLUMN(Fact_Инвестиции!D27),0)</f>
        <v>Иванов Алексей Петрович</v>
      </c>
      <c r="M27" t="str">
        <f>VLOOKUP($D27,Инвестор!$A$2:$F$6,COLUMN(Fact_Инвестиции!E27),0)</f>
        <v>Квалифицированный</v>
      </c>
      <c r="N27" t="str">
        <f>VLOOKUP($D27,Инвестор!$A$2:$F$6,COLUMN(Fact_Инвестиции!F27),0)</f>
        <v>Москва</v>
      </c>
      <c r="O27" t="str">
        <f>VLOOKUP($C27,Фонд!$A$2:$H$7,COLUMN(Fact_Инвестиции!B27),0)</f>
        <v>RU000A0JXYF1</v>
      </c>
      <c r="P27" t="str">
        <f>VLOOKUP($C27,Фонд!$A$2:$H$7,COLUMN(Fact_Инвестиции!C27),0)</f>
        <v>ОФЗ 26231</v>
      </c>
      <c r="Q27">
        <f>VLOOKUP($C27,Фонд!$A$2:$H$7,COLUMN(Fact_Инвестиции!D27),0)</f>
        <v>1000</v>
      </c>
      <c r="R27" t="str">
        <f>VLOOKUP($C27,Фонд!$A$2:$H$7,COLUMN(Fact_Инвестиции!E27),0)</f>
        <v>RUB</v>
      </c>
      <c r="S27">
        <f>VLOOKUP($C27,Фонд!$A$2:$H$7,COLUMN(Fact_Инвестиции!F27),0)</f>
        <v>47848</v>
      </c>
      <c r="T27" t="str">
        <f>VLOOKUP($C27,Фонд!$A$2:$H$7,COLUMN(Fact_Инвестиции!G27),0)</f>
        <v>Гос. облигация</v>
      </c>
      <c r="U27" t="str">
        <f>VLOOKUP($E27,Фонд!$A$2:$H$7,COLUMN(Fact_Инвестиции!B27),0)</f>
        <v>RU000A0JXYF1</v>
      </c>
      <c r="V27" t="str">
        <f>VLOOKUP($E27,Фонд!$A$2:$H$7,COLUMN(Fact_Инвестиции!C27),0)</f>
        <v>ОФЗ 26231</v>
      </c>
      <c r="W27">
        <f>VLOOKUP($E27,Фонд!$A$2:$H$7,COLUMN(Fact_Инвестиции!D27),0)</f>
        <v>1000</v>
      </c>
      <c r="X27" t="str">
        <f>VLOOKUP($E27,Фонд!$A$2:$H$7,COLUMN(Fact_Инвестиции!E27),0)</f>
        <v>RUB</v>
      </c>
      <c r="Y27">
        <f>VLOOKUP($E27,Фонд!$A$2:$H$7,COLUMN(Fact_Инвестиции!F27),0)</f>
        <v>47848</v>
      </c>
      <c r="Z27">
        <f>VLOOKUP($B27,Время!$A$2:$G$25,COLUMN(Fact_Инвестиции!B27),0)</f>
        <v>45299</v>
      </c>
      <c r="AA27">
        <f>VLOOKUP($B27,Время!$A$2:$G$25,COLUMN(Fact_Инвестиции!C27),0)</f>
        <v>2024</v>
      </c>
      <c r="AB27">
        <f>VLOOKUP($B27,Время!$A$2:$G$25,COLUMN(Fact_Инвестиции!D27),0)</f>
        <v>3</v>
      </c>
      <c r="AC27">
        <f>VLOOKUP($B27,Время!$A$2:$G$25,COLUMN(Fact_Инвестиции!E27),0)</f>
        <v>8</v>
      </c>
      <c r="AD27">
        <f>VLOOKUP($B27,Время!$A$2:$G$25,COLUMN(Fact_Инвестиции!F27),0)</f>
        <v>1</v>
      </c>
      <c r="AE27" t="str">
        <f>VLOOKUP($B27,Время!$A$2:$G$25,COLUMN(Fact_Инвестиции!G27),0)</f>
        <v>Четверг</v>
      </c>
    </row>
    <row r="28" spans="1:31">
      <c r="A28">
        <v>28</v>
      </c>
      <c r="B28">
        <v>20240815</v>
      </c>
      <c r="C28">
        <v>2</v>
      </c>
      <c r="D28">
        <v>2</v>
      </c>
      <c r="E28">
        <v>2</v>
      </c>
      <c r="F28" s="1">
        <v>62000</v>
      </c>
      <c r="G28" s="1">
        <v>2205.4</v>
      </c>
      <c r="H28" s="1">
        <v>136734800</v>
      </c>
      <c r="I28">
        <v>10.5</v>
      </c>
      <c r="J28" t="str">
        <f>VLOOKUP($D28,Инвестор!$A$2:$F$6,COLUMN(Fact_Инвестиции!B28),0)</f>
        <v>Юридическое лицо</v>
      </c>
      <c r="K28" t="str">
        <f>VLOOKUP($D28,Инвестор!$A$2:$F$6,COLUMN(Fact_Инвестиции!C28),0)</f>
        <v>770198765432</v>
      </c>
      <c r="L28" t="str">
        <f>VLOOKUP($D28,Инвестор!$A$2:$F$6,COLUMN(Fact_Инвестиции!D28),0)</f>
        <v>ООО "ИнвестПро"</v>
      </c>
      <c r="M28" t="str">
        <f>VLOOKUP($D28,Инвестор!$A$2:$F$6,COLUMN(Fact_Инвестиции!E28),0)</f>
        <v>Профессиональный</v>
      </c>
      <c r="N28" t="str">
        <f>VLOOKUP($D28,Инвестор!$A$2:$F$6,COLUMN(Fact_Инвестиции!F28),0)</f>
        <v>Санкт-Петербург</v>
      </c>
      <c r="O28" t="str">
        <f>VLOOKUP($C28,Фонд!$A$2:$H$7,COLUMN(Fact_Инвестиции!B28),0)</f>
        <v>RU000A0JX0F2</v>
      </c>
      <c r="P28" t="str">
        <f>VLOOKUP($C28,Фонд!$A$2:$H$7,COLUMN(Fact_Инвестиции!C28),0)</f>
        <v>Газпромбанк-10</v>
      </c>
      <c r="Q28">
        <f>VLOOKUP($C28,Фонд!$A$2:$H$7,COLUMN(Fact_Инвестиции!D28),0)</f>
        <v>1000</v>
      </c>
      <c r="R28" t="str">
        <f>VLOOKUP($C28,Фонд!$A$2:$H$7,COLUMN(Fact_Инвестиции!E28),0)</f>
        <v>RUB</v>
      </c>
      <c r="S28">
        <f>VLOOKUP($C28,Фонд!$A$2:$H$7,COLUMN(Fact_Инвестиции!F28),0)</f>
        <v>46888</v>
      </c>
      <c r="T28" t="str">
        <f>VLOOKUP($C28,Фонд!$A$2:$H$7,COLUMN(Fact_Инвестиции!G28),0)</f>
        <v>Корп. облигация</v>
      </c>
      <c r="U28" t="str">
        <f>VLOOKUP($E28,Фонд!$A$2:$H$7,COLUMN(Fact_Инвестиции!B28),0)</f>
        <v>RU000A0JX0F2</v>
      </c>
      <c r="V28" t="str">
        <f>VLOOKUP($E28,Фонд!$A$2:$H$7,COLUMN(Fact_Инвестиции!C28),0)</f>
        <v>Газпромбанк-10</v>
      </c>
      <c r="W28">
        <f>VLOOKUP($E28,Фонд!$A$2:$H$7,COLUMN(Fact_Инвестиции!D28),0)</f>
        <v>1000</v>
      </c>
      <c r="X28" t="str">
        <f>VLOOKUP($E28,Фонд!$A$2:$H$7,COLUMN(Fact_Инвестиции!E28),0)</f>
        <v>RUB</v>
      </c>
      <c r="Y28">
        <f>VLOOKUP($E28,Фонд!$A$2:$H$7,COLUMN(Fact_Инвестиции!F28),0)</f>
        <v>46888</v>
      </c>
      <c r="Z28">
        <f>VLOOKUP($B28,Время!$A$2:$G$25,COLUMN(Fact_Инвестиции!B28),0)</f>
        <v>45519</v>
      </c>
      <c r="AA28">
        <f>VLOOKUP($B28,Время!$A$2:$G$25,COLUMN(Fact_Инвестиции!C28),0)</f>
        <v>2024</v>
      </c>
      <c r="AB28">
        <f>VLOOKUP($B28,Время!$A$2:$G$25,COLUMN(Fact_Инвестиции!D28),0)</f>
        <v>3</v>
      </c>
      <c r="AC28">
        <f>VLOOKUP($B28,Время!$A$2:$G$25,COLUMN(Fact_Инвестиции!E28),0)</f>
        <v>8</v>
      </c>
      <c r="AD28">
        <f>VLOOKUP($B28,Время!$A$2:$G$25,COLUMN(Fact_Инвестиции!F28),0)</f>
        <v>15</v>
      </c>
      <c r="AE28" t="str">
        <f>VLOOKUP($B28,Время!$A$2:$G$25,COLUMN(Fact_Инвестиции!G28),0)</f>
        <v>Четверг</v>
      </c>
    </row>
    <row r="29" spans="1:31">
      <c r="A29">
        <v>29</v>
      </c>
      <c r="B29">
        <v>20240901</v>
      </c>
      <c r="C29">
        <v>3</v>
      </c>
      <c r="D29">
        <v>3</v>
      </c>
      <c r="E29">
        <v>3</v>
      </c>
      <c r="F29" s="1">
        <v>12000</v>
      </c>
      <c r="G29" s="1">
        <v>215.9</v>
      </c>
      <c r="H29" s="1">
        <v>2590800</v>
      </c>
      <c r="I29">
        <v>16.5</v>
      </c>
      <c r="J29" t="str">
        <f>VLOOKUP($D29,Инвестор!$A$2:$F$6,COLUMN(Fact_Инвестиции!B29),0)</f>
        <v>Физическое лицо</v>
      </c>
      <c r="K29" t="str">
        <f>VLOOKUP($D29,Инвестор!$A$2:$F$6,COLUMN(Fact_Инвестиции!C29),0)</f>
        <v>770123456789</v>
      </c>
      <c r="L29" t="str">
        <f>VLOOKUP($D29,Инвестор!$A$2:$F$6,COLUMN(Fact_Инвестиции!D29),0)</f>
        <v>Смирнова Мария Игоревна</v>
      </c>
      <c r="M29" t="str">
        <f>VLOOKUP($D29,Инвестор!$A$2:$F$6,COLUMN(Fact_Инвестиции!E29),0)</f>
        <v>Неквалифицированный</v>
      </c>
      <c r="N29" t="str">
        <f>VLOOKUP($D29,Инвестор!$A$2:$F$6,COLUMN(Fact_Инвестиции!F29),0)</f>
        <v>Новосибирск</v>
      </c>
      <c r="O29" t="str">
        <f>VLOOKUP($C29,Фонд!$A$2:$H$7,COLUMN(Fact_Инвестиции!B29),0)</f>
        <v>US0378331005</v>
      </c>
      <c r="P29" t="str">
        <f>VLOOKUP($C29,Фонд!$A$2:$H$7,COLUMN(Fact_Инвестиции!C29),0)</f>
        <v>Apple</v>
      </c>
      <c r="Q29">
        <f>VLOOKUP($C29,Фонд!$A$2:$H$7,COLUMN(Fact_Инвестиции!D29),0)</f>
        <v>0</v>
      </c>
      <c r="R29" t="str">
        <f>VLOOKUP($C29,Фонд!$A$2:$H$7,COLUMN(Fact_Инвестиции!E29),0)</f>
        <v>USD</v>
      </c>
      <c r="S29">
        <f>VLOOKUP($C29,Фонд!$A$2:$H$7,COLUMN(Fact_Инвестиции!F29),0)</f>
        <v>0</v>
      </c>
      <c r="T29" t="str">
        <f>VLOOKUP($C29,Фонд!$A$2:$H$7,COLUMN(Fact_Инвестиции!G29),0)</f>
        <v>Акция</v>
      </c>
      <c r="U29" t="str">
        <f>VLOOKUP($E29,Фонд!$A$2:$H$7,COLUMN(Fact_Инвестиции!B29),0)</f>
        <v>US0378331005</v>
      </c>
      <c r="V29" t="str">
        <f>VLOOKUP($E29,Фонд!$A$2:$H$7,COLUMN(Fact_Инвестиции!C29),0)</f>
        <v>Apple</v>
      </c>
      <c r="W29">
        <f>VLOOKUP($E29,Фонд!$A$2:$H$7,COLUMN(Fact_Инвестиции!D29),0)</f>
        <v>0</v>
      </c>
      <c r="X29" t="str">
        <f>VLOOKUP($E29,Фонд!$A$2:$H$7,COLUMN(Fact_Инвестиции!E29),0)</f>
        <v>USD</v>
      </c>
      <c r="Y29">
        <f>VLOOKUP($E29,Фонд!$A$2:$H$7,COLUMN(Fact_Инвестиции!F29),0)</f>
        <v>0</v>
      </c>
      <c r="Z29">
        <f>VLOOKUP($B29,Время!$A$2:$G$25,COLUMN(Fact_Инвестиции!B29),0)</f>
        <v>45300</v>
      </c>
      <c r="AA29">
        <f>VLOOKUP($B29,Время!$A$2:$G$25,COLUMN(Fact_Инвестиции!C29),0)</f>
        <v>2024</v>
      </c>
      <c r="AB29">
        <f>VLOOKUP($B29,Время!$A$2:$G$25,COLUMN(Fact_Инвестиции!D29),0)</f>
        <v>3</v>
      </c>
      <c r="AC29">
        <f>VLOOKUP($B29,Время!$A$2:$G$25,COLUMN(Fact_Инвестиции!E29),0)</f>
        <v>9</v>
      </c>
      <c r="AD29">
        <f>VLOOKUP($B29,Время!$A$2:$G$25,COLUMN(Fact_Инвестиции!F29),0)</f>
        <v>1</v>
      </c>
      <c r="AE29" t="str">
        <f>VLOOKUP($B29,Время!$A$2:$G$25,COLUMN(Fact_Инвестиции!G29),0)</f>
        <v>Воскресенье</v>
      </c>
    </row>
    <row r="30" spans="1:31">
      <c r="A30">
        <v>30</v>
      </c>
      <c r="B30">
        <v>20240915</v>
      </c>
      <c r="C30">
        <v>4</v>
      </c>
      <c r="D30">
        <v>4</v>
      </c>
      <c r="E30">
        <v>4</v>
      </c>
      <c r="F30" s="1">
        <v>24000</v>
      </c>
      <c r="G30" s="1">
        <v>3385.25</v>
      </c>
      <c r="H30" s="1">
        <v>81246000</v>
      </c>
      <c r="I30">
        <v>9</v>
      </c>
      <c r="J30" t="str">
        <f>VLOOKUP($D30,Инвестор!$A$2:$F$6,COLUMN(Fact_Инвестиции!B30),0)</f>
        <v>Юридическое лицо</v>
      </c>
      <c r="K30" t="str">
        <f>VLOOKUP($D30,Инвестор!$A$2:$F$6,COLUMN(Fact_Инвестиции!C30),0)</f>
        <v>770187654321</v>
      </c>
      <c r="L30" t="str">
        <f>VLOOKUP($D30,Инвестор!$A$2:$F$6,COLUMN(Fact_Инвестиции!D30),0)</f>
        <v>АО "КапиталТраст"</v>
      </c>
      <c r="M30" t="str">
        <f>VLOOKUP($D30,Инвестор!$A$2:$F$6,COLUMN(Fact_Инвестиции!E30),0)</f>
        <v>Профессиональный</v>
      </c>
      <c r="N30" t="str">
        <f>VLOOKUP($D30,Инвестор!$A$2:$F$6,COLUMN(Fact_Инвестиции!F30),0)</f>
        <v>Москва</v>
      </c>
      <c r="O30" t="str">
        <f>VLOOKUP($C30,Фонд!$A$2:$H$7,COLUMN(Fact_Инвестиции!B30),0)</f>
        <v>US5949181045</v>
      </c>
      <c r="P30" t="str">
        <f>VLOOKUP($C30,Фонд!$A$2:$H$7,COLUMN(Fact_Инвестиции!C30),0)</f>
        <v>Microsoft</v>
      </c>
      <c r="Q30">
        <f>VLOOKUP($C30,Фонд!$A$2:$H$7,COLUMN(Fact_Инвестиции!D30),0)</f>
        <v>0</v>
      </c>
      <c r="R30" t="str">
        <f>VLOOKUP($C30,Фонд!$A$2:$H$7,COLUMN(Fact_Инвестиции!E30),0)</f>
        <v>USD</v>
      </c>
      <c r="S30">
        <f>VLOOKUP($C30,Фонд!$A$2:$H$7,COLUMN(Fact_Инвестиции!F30),0)</f>
        <v>0</v>
      </c>
      <c r="T30" t="str">
        <f>VLOOKUP($C30,Фонд!$A$2:$H$7,COLUMN(Fact_Инвестиции!G30),0)</f>
        <v>Акция</v>
      </c>
      <c r="U30" t="str">
        <f>VLOOKUP($E30,Фонд!$A$2:$H$7,COLUMN(Fact_Инвестиции!B30),0)</f>
        <v>US5949181045</v>
      </c>
      <c r="V30" t="str">
        <f>VLOOKUP($E30,Фонд!$A$2:$H$7,COLUMN(Fact_Инвестиции!C30),0)</f>
        <v>Microsoft</v>
      </c>
      <c r="W30">
        <f>VLOOKUP($E30,Фонд!$A$2:$H$7,COLUMN(Fact_Инвестиции!D30),0)</f>
        <v>0</v>
      </c>
      <c r="X30" t="str">
        <f>VLOOKUP($E30,Фонд!$A$2:$H$7,COLUMN(Fact_Инвестиции!E30),0)</f>
        <v>USD</v>
      </c>
      <c r="Y30">
        <f>VLOOKUP($E30,Фонд!$A$2:$H$7,COLUMN(Fact_Инвестиции!F30),0)</f>
        <v>0</v>
      </c>
      <c r="Z30">
        <f>VLOOKUP($B30,Время!$A$2:$G$25,COLUMN(Fact_Инвестиции!B30),0)</f>
        <v>45550</v>
      </c>
      <c r="AA30">
        <f>VLOOKUP($B30,Время!$A$2:$G$25,COLUMN(Fact_Инвестиции!C30),0)</f>
        <v>2024</v>
      </c>
      <c r="AB30">
        <f>VLOOKUP($B30,Время!$A$2:$G$25,COLUMN(Fact_Инвестиции!D30),0)</f>
        <v>3</v>
      </c>
      <c r="AC30">
        <f>VLOOKUP($B30,Время!$A$2:$G$25,COLUMN(Fact_Инвестиции!E30),0)</f>
        <v>9</v>
      </c>
      <c r="AD30">
        <f>VLOOKUP($B30,Время!$A$2:$G$25,COLUMN(Fact_Инвестиции!F30),0)</f>
        <v>15</v>
      </c>
      <c r="AE30" t="str">
        <f>VLOOKUP($B30,Время!$A$2:$G$25,COLUMN(Fact_Инвестиции!G30),0)</f>
        <v>Воскресенье</v>
      </c>
    </row>
    <row r="31" spans="1:31">
      <c r="A31">
        <v>31</v>
      </c>
      <c r="B31">
        <v>20241001</v>
      </c>
      <c r="C31">
        <v>1</v>
      </c>
      <c r="D31">
        <v>5</v>
      </c>
      <c r="E31">
        <v>1</v>
      </c>
      <c r="F31" s="1">
        <v>40000</v>
      </c>
      <c r="G31" s="1">
        <v>1108.75</v>
      </c>
      <c r="H31" s="1">
        <v>44350000</v>
      </c>
      <c r="I31">
        <v>9.8000000000000007</v>
      </c>
      <c r="J31" t="str">
        <f>VLOOKUP($D31,Инвестор!$A$2:$F$6,COLUMN(Fact_Инвестиции!B31),0)</f>
        <v>Физическое лицо</v>
      </c>
      <c r="K31" t="str">
        <f>VLOOKUP($D31,Инвестор!$A$2:$F$6,COLUMN(Fact_Инвестиции!C31),0)</f>
        <v>770134567890</v>
      </c>
      <c r="L31" t="str">
        <f>VLOOKUP($D31,Инвестор!$A$2:$F$6,COLUMN(Fact_Инвестиции!D31),0)</f>
        <v>Кузнецов Дмитрий Сергеевич</v>
      </c>
      <c r="M31" t="str">
        <f>VLOOKUP($D31,Инвестор!$A$2:$F$6,COLUMN(Fact_Инвестиции!E31),0)</f>
        <v>Квалифицированный</v>
      </c>
      <c r="N31" t="str">
        <f>VLOOKUP($D31,Инвестор!$A$2:$F$6,COLUMN(Fact_Инвестиции!F31),0)</f>
        <v>Екатеринбург</v>
      </c>
      <c r="O31" t="str">
        <f>VLOOKUP($C31,Фонд!$A$2:$H$7,COLUMN(Fact_Инвестиции!B31),0)</f>
        <v>RU000A0JXYF1</v>
      </c>
      <c r="P31" t="str">
        <f>VLOOKUP($C31,Фонд!$A$2:$H$7,COLUMN(Fact_Инвестиции!C31),0)</f>
        <v>ОФЗ 26231</v>
      </c>
      <c r="Q31">
        <f>VLOOKUP($C31,Фонд!$A$2:$H$7,COLUMN(Fact_Инвестиции!D31),0)</f>
        <v>1000</v>
      </c>
      <c r="R31" t="str">
        <f>VLOOKUP($C31,Фонд!$A$2:$H$7,COLUMN(Fact_Инвестиции!E31),0)</f>
        <v>RUB</v>
      </c>
      <c r="S31">
        <f>VLOOKUP($C31,Фонд!$A$2:$H$7,COLUMN(Fact_Инвестиции!F31),0)</f>
        <v>47848</v>
      </c>
      <c r="T31" t="str">
        <f>VLOOKUP($C31,Фонд!$A$2:$H$7,COLUMN(Fact_Инвестиции!G31),0)</f>
        <v>Гос. облигация</v>
      </c>
      <c r="U31" t="str">
        <f>VLOOKUP($E31,Фонд!$A$2:$H$7,COLUMN(Fact_Инвестиции!B31),0)</f>
        <v>RU000A0JXYF1</v>
      </c>
      <c r="V31" t="str">
        <f>VLOOKUP($E31,Фонд!$A$2:$H$7,COLUMN(Fact_Инвестиции!C31),0)</f>
        <v>ОФЗ 26231</v>
      </c>
      <c r="W31">
        <f>VLOOKUP($E31,Фонд!$A$2:$H$7,COLUMN(Fact_Инвестиции!D31),0)</f>
        <v>1000</v>
      </c>
      <c r="X31" t="str">
        <f>VLOOKUP($E31,Фонд!$A$2:$H$7,COLUMN(Fact_Инвестиции!E31),0)</f>
        <v>RUB</v>
      </c>
      <c r="Y31">
        <f>VLOOKUP($E31,Фонд!$A$2:$H$7,COLUMN(Fact_Инвестиции!F31),0)</f>
        <v>47848</v>
      </c>
      <c r="Z31">
        <f>VLOOKUP($B31,Время!$A$2:$G$25,COLUMN(Fact_Инвестиции!B31),0)</f>
        <v>45301</v>
      </c>
      <c r="AA31">
        <f>VLOOKUP($B31,Время!$A$2:$G$25,COLUMN(Fact_Инвестиции!C31),0)</f>
        <v>2024</v>
      </c>
      <c r="AB31">
        <f>VLOOKUP($B31,Время!$A$2:$G$25,COLUMN(Fact_Инвестиции!D31),0)</f>
        <v>4</v>
      </c>
      <c r="AC31">
        <f>VLOOKUP($B31,Время!$A$2:$G$25,COLUMN(Fact_Инвестиции!E31),0)</f>
        <v>10</v>
      </c>
      <c r="AD31">
        <f>VLOOKUP($B31,Время!$A$2:$G$25,COLUMN(Fact_Инвестиции!F31),0)</f>
        <v>1</v>
      </c>
      <c r="AE31" t="str">
        <f>VLOOKUP($B31,Время!$A$2:$G$25,COLUMN(Fact_Инвестиции!G31),0)</f>
        <v>Вторник</v>
      </c>
    </row>
    <row r="32" spans="1:31">
      <c r="A32">
        <v>32</v>
      </c>
      <c r="B32">
        <v>20241015</v>
      </c>
      <c r="C32">
        <v>2</v>
      </c>
      <c r="D32">
        <v>1</v>
      </c>
      <c r="E32">
        <v>2</v>
      </c>
      <c r="F32" s="1">
        <v>65000</v>
      </c>
      <c r="G32" s="1">
        <v>2228.6</v>
      </c>
      <c r="H32" s="1">
        <v>144859000</v>
      </c>
      <c r="I32">
        <v>11</v>
      </c>
      <c r="J32" t="str">
        <f>VLOOKUP($D32,Инвестор!$A$2:$F$6,COLUMN(Fact_Инвестиции!B32),0)</f>
        <v>Физическое лицо</v>
      </c>
      <c r="K32" t="str">
        <f>VLOOKUP($D32,Инвестор!$A$2:$F$6,COLUMN(Fact_Инвестиции!C32),0)</f>
        <v>770112345678</v>
      </c>
      <c r="L32" t="str">
        <f>VLOOKUP($D32,Инвестор!$A$2:$F$6,COLUMN(Fact_Инвестиции!D32),0)</f>
        <v>Иванов Алексей Петрович</v>
      </c>
      <c r="M32" t="str">
        <f>VLOOKUP($D32,Инвестор!$A$2:$F$6,COLUMN(Fact_Инвестиции!E32),0)</f>
        <v>Квалифицированный</v>
      </c>
      <c r="N32" t="str">
        <f>VLOOKUP($D32,Инвестор!$A$2:$F$6,COLUMN(Fact_Инвестиции!F32),0)</f>
        <v>Москва</v>
      </c>
      <c r="O32" t="str">
        <f>VLOOKUP($C32,Фонд!$A$2:$H$7,COLUMN(Fact_Инвестиции!B32),0)</f>
        <v>RU000A0JX0F2</v>
      </c>
      <c r="P32" t="str">
        <f>VLOOKUP($C32,Фонд!$A$2:$H$7,COLUMN(Fact_Инвестиции!C32),0)</f>
        <v>Газпромбанк-10</v>
      </c>
      <c r="Q32">
        <f>VLOOKUP($C32,Фонд!$A$2:$H$7,COLUMN(Fact_Инвестиции!D32),0)</f>
        <v>1000</v>
      </c>
      <c r="R32" t="str">
        <f>VLOOKUP($C32,Фонд!$A$2:$H$7,COLUMN(Fact_Инвестиции!E32),0)</f>
        <v>RUB</v>
      </c>
      <c r="S32">
        <f>VLOOKUP($C32,Фонд!$A$2:$H$7,COLUMN(Fact_Инвестиции!F32),0)</f>
        <v>46888</v>
      </c>
      <c r="T32" t="str">
        <f>VLOOKUP($C32,Фонд!$A$2:$H$7,COLUMN(Fact_Инвестиции!G32),0)</f>
        <v>Корп. облигация</v>
      </c>
      <c r="U32" t="str">
        <f>VLOOKUP($E32,Фонд!$A$2:$H$7,COLUMN(Fact_Инвестиции!B32),0)</f>
        <v>RU000A0JX0F2</v>
      </c>
      <c r="V32" t="str">
        <f>VLOOKUP($E32,Фонд!$A$2:$H$7,COLUMN(Fact_Инвестиции!C32),0)</f>
        <v>Газпромбанк-10</v>
      </c>
      <c r="W32">
        <f>VLOOKUP($E32,Фонд!$A$2:$H$7,COLUMN(Fact_Инвестиции!D32),0)</f>
        <v>1000</v>
      </c>
      <c r="X32" t="str">
        <f>VLOOKUP($E32,Фонд!$A$2:$H$7,COLUMN(Fact_Инвестиции!E32),0)</f>
        <v>RUB</v>
      </c>
      <c r="Y32">
        <f>VLOOKUP($E32,Фонд!$A$2:$H$7,COLUMN(Fact_Инвестиции!F32),0)</f>
        <v>46888</v>
      </c>
      <c r="Z32">
        <f>VLOOKUP($B32,Время!$A$2:$G$25,COLUMN(Fact_Инвестиции!B32),0)</f>
        <v>45580</v>
      </c>
      <c r="AA32">
        <f>VLOOKUP($B32,Время!$A$2:$G$25,COLUMN(Fact_Инвестиции!C32),0)</f>
        <v>2024</v>
      </c>
      <c r="AB32">
        <f>VLOOKUP($B32,Время!$A$2:$G$25,COLUMN(Fact_Инвестиции!D32),0)</f>
        <v>4</v>
      </c>
      <c r="AC32">
        <f>VLOOKUP($B32,Время!$A$2:$G$25,COLUMN(Fact_Инвестиции!E32),0)</f>
        <v>10</v>
      </c>
      <c r="AD32">
        <f>VLOOKUP($B32,Время!$A$2:$G$25,COLUMN(Fact_Инвестиции!F32),0)</f>
        <v>15</v>
      </c>
      <c r="AE32" t="str">
        <f>VLOOKUP($B32,Время!$A$2:$G$25,COLUMN(Fact_Инвестиции!G32),0)</f>
        <v>Вторник</v>
      </c>
    </row>
    <row r="33" spans="1:31">
      <c r="A33">
        <v>33</v>
      </c>
      <c r="B33">
        <v>20241101</v>
      </c>
      <c r="C33">
        <v>3</v>
      </c>
      <c r="D33">
        <v>2</v>
      </c>
      <c r="E33">
        <v>3</v>
      </c>
      <c r="F33" s="1">
        <v>13000</v>
      </c>
      <c r="G33" s="1">
        <v>221.5</v>
      </c>
      <c r="H33" s="1">
        <v>2879500</v>
      </c>
      <c r="I33">
        <v>17.2</v>
      </c>
      <c r="J33" t="str">
        <f>VLOOKUP($D33,Инвестор!$A$2:$F$6,COLUMN(Fact_Инвестиции!B33),0)</f>
        <v>Юридическое лицо</v>
      </c>
      <c r="K33" t="str">
        <f>VLOOKUP($D33,Инвестор!$A$2:$F$6,COLUMN(Fact_Инвестиции!C33),0)</f>
        <v>770198765432</v>
      </c>
      <c r="L33" t="str">
        <f>VLOOKUP($D33,Инвестор!$A$2:$F$6,COLUMN(Fact_Инвестиции!D33),0)</f>
        <v>ООО "ИнвестПро"</v>
      </c>
      <c r="M33" t="str">
        <f>VLOOKUP($D33,Инвестор!$A$2:$F$6,COLUMN(Fact_Инвестиции!E33),0)</f>
        <v>Профессиональный</v>
      </c>
      <c r="N33" t="str">
        <f>VLOOKUP($D33,Инвестор!$A$2:$F$6,COLUMN(Fact_Инвестиции!F33),0)</f>
        <v>Санкт-Петербург</v>
      </c>
      <c r="O33" t="str">
        <f>VLOOKUP($C33,Фонд!$A$2:$H$7,COLUMN(Fact_Инвестиции!B33),0)</f>
        <v>US0378331005</v>
      </c>
      <c r="P33" t="str">
        <f>VLOOKUP($C33,Фонд!$A$2:$H$7,COLUMN(Fact_Инвестиции!C33),0)</f>
        <v>Apple</v>
      </c>
      <c r="Q33">
        <f>VLOOKUP($C33,Фонд!$A$2:$H$7,COLUMN(Fact_Инвестиции!D33),0)</f>
        <v>0</v>
      </c>
      <c r="R33" t="str">
        <f>VLOOKUP($C33,Фонд!$A$2:$H$7,COLUMN(Fact_Инвестиции!E33),0)</f>
        <v>USD</v>
      </c>
      <c r="S33">
        <f>VLOOKUP($C33,Фонд!$A$2:$H$7,COLUMN(Fact_Инвестиции!F33),0)</f>
        <v>0</v>
      </c>
      <c r="T33" t="str">
        <f>VLOOKUP($C33,Фонд!$A$2:$H$7,COLUMN(Fact_Инвестиции!G33),0)</f>
        <v>Акция</v>
      </c>
      <c r="U33" t="str">
        <f>VLOOKUP($E33,Фонд!$A$2:$H$7,COLUMN(Fact_Инвестиции!B33),0)</f>
        <v>US0378331005</v>
      </c>
      <c r="V33" t="str">
        <f>VLOOKUP($E33,Фонд!$A$2:$H$7,COLUMN(Fact_Инвестиции!C33),0)</f>
        <v>Apple</v>
      </c>
      <c r="W33">
        <f>VLOOKUP($E33,Фонд!$A$2:$H$7,COLUMN(Fact_Инвестиции!D33),0)</f>
        <v>0</v>
      </c>
      <c r="X33" t="str">
        <f>VLOOKUP($E33,Фонд!$A$2:$H$7,COLUMN(Fact_Инвестиции!E33),0)</f>
        <v>USD</v>
      </c>
      <c r="Y33">
        <f>VLOOKUP($E33,Фонд!$A$2:$H$7,COLUMN(Fact_Инвестиции!F33),0)</f>
        <v>0</v>
      </c>
      <c r="Z33">
        <f>VLOOKUP($B33,Время!$A$2:$G$25,COLUMN(Fact_Инвестиции!B33),0)</f>
        <v>45302</v>
      </c>
      <c r="AA33">
        <f>VLOOKUP($B33,Время!$A$2:$G$25,COLUMN(Fact_Инвестиции!C33),0)</f>
        <v>2024</v>
      </c>
      <c r="AB33">
        <f>VLOOKUP($B33,Время!$A$2:$G$25,COLUMN(Fact_Инвестиции!D33),0)</f>
        <v>4</v>
      </c>
      <c r="AC33">
        <f>VLOOKUP($B33,Время!$A$2:$G$25,COLUMN(Fact_Инвестиции!E33),0)</f>
        <v>11</v>
      </c>
      <c r="AD33">
        <f>VLOOKUP($B33,Время!$A$2:$G$25,COLUMN(Fact_Инвестиции!F33),0)</f>
        <v>1</v>
      </c>
      <c r="AE33" t="str">
        <f>VLOOKUP($B33,Время!$A$2:$G$25,COLUMN(Fact_Инвестиции!G33),0)</f>
        <v>Пятница</v>
      </c>
    </row>
    <row r="34" spans="1:31">
      <c r="A34">
        <v>34</v>
      </c>
      <c r="B34">
        <v>20241115</v>
      </c>
      <c r="C34">
        <v>4</v>
      </c>
      <c r="D34">
        <v>3</v>
      </c>
      <c r="E34">
        <v>4</v>
      </c>
      <c r="F34" s="1">
        <v>26000</v>
      </c>
      <c r="G34" s="1">
        <v>3420.8</v>
      </c>
      <c r="H34" s="1">
        <v>88940800</v>
      </c>
      <c r="I34">
        <v>9.5</v>
      </c>
      <c r="J34" t="str">
        <f>VLOOKUP($D34,Инвестор!$A$2:$F$6,COLUMN(Fact_Инвестиции!B34),0)</f>
        <v>Физическое лицо</v>
      </c>
      <c r="K34" t="str">
        <f>VLOOKUP($D34,Инвестор!$A$2:$F$6,COLUMN(Fact_Инвестиции!C34),0)</f>
        <v>770123456789</v>
      </c>
      <c r="L34" t="str">
        <f>VLOOKUP($D34,Инвестор!$A$2:$F$6,COLUMN(Fact_Инвестиции!D34),0)</f>
        <v>Смирнова Мария Игоревна</v>
      </c>
      <c r="M34" t="str">
        <f>VLOOKUP($D34,Инвестор!$A$2:$F$6,COLUMN(Fact_Инвестиции!E34),0)</f>
        <v>Неквалифицированный</v>
      </c>
      <c r="N34" t="str">
        <f>VLOOKUP($D34,Инвестор!$A$2:$F$6,COLUMN(Fact_Инвестиции!F34),0)</f>
        <v>Новосибирск</v>
      </c>
      <c r="O34" t="str">
        <f>VLOOKUP($C34,Фонд!$A$2:$H$7,COLUMN(Fact_Инвестиции!B34),0)</f>
        <v>US5949181045</v>
      </c>
      <c r="P34" t="str">
        <f>VLOOKUP($C34,Фонд!$A$2:$H$7,COLUMN(Fact_Инвестиции!C34),0)</f>
        <v>Microsoft</v>
      </c>
      <c r="Q34">
        <f>VLOOKUP($C34,Фонд!$A$2:$H$7,COLUMN(Fact_Инвестиции!D34),0)</f>
        <v>0</v>
      </c>
      <c r="R34" t="str">
        <f>VLOOKUP($C34,Фонд!$A$2:$H$7,COLUMN(Fact_Инвестиции!E34),0)</f>
        <v>USD</v>
      </c>
      <c r="S34">
        <f>VLOOKUP($C34,Фонд!$A$2:$H$7,COLUMN(Fact_Инвестиции!F34),0)</f>
        <v>0</v>
      </c>
      <c r="T34" t="str">
        <f>VLOOKUP($C34,Фонд!$A$2:$H$7,COLUMN(Fact_Инвестиции!G34),0)</f>
        <v>Акция</v>
      </c>
      <c r="U34" t="str">
        <f>VLOOKUP($E34,Фонд!$A$2:$H$7,COLUMN(Fact_Инвестиции!B34),0)</f>
        <v>US5949181045</v>
      </c>
      <c r="V34" t="str">
        <f>VLOOKUP($E34,Фонд!$A$2:$H$7,COLUMN(Fact_Инвестиции!C34),0)</f>
        <v>Microsoft</v>
      </c>
      <c r="W34">
        <f>VLOOKUP($E34,Фонд!$A$2:$H$7,COLUMN(Fact_Инвестиции!D34),0)</f>
        <v>0</v>
      </c>
      <c r="X34" t="str">
        <f>VLOOKUP($E34,Фонд!$A$2:$H$7,COLUMN(Fact_Инвестиции!E34),0)</f>
        <v>USD</v>
      </c>
      <c r="Y34">
        <f>VLOOKUP($E34,Фонд!$A$2:$H$7,COLUMN(Fact_Инвестиции!F34),0)</f>
        <v>0</v>
      </c>
      <c r="Z34">
        <f>VLOOKUP($B34,Время!$A$2:$G$25,COLUMN(Fact_Инвестиции!B34),0)</f>
        <v>45611</v>
      </c>
      <c r="AA34">
        <f>VLOOKUP($B34,Время!$A$2:$G$25,COLUMN(Fact_Инвестиции!C34),0)</f>
        <v>2024</v>
      </c>
      <c r="AB34">
        <f>VLOOKUP($B34,Время!$A$2:$G$25,COLUMN(Fact_Инвестиции!D34),0)</f>
        <v>4</v>
      </c>
      <c r="AC34">
        <f>VLOOKUP($B34,Время!$A$2:$G$25,COLUMN(Fact_Инвестиции!E34),0)</f>
        <v>11</v>
      </c>
      <c r="AD34">
        <f>VLOOKUP($B34,Время!$A$2:$G$25,COLUMN(Fact_Инвестиции!F34),0)</f>
        <v>15</v>
      </c>
      <c r="AE34" t="str">
        <f>VLOOKUP($B34,Время!$A$2:$G$25,COLUMN(Fact_Инвестиции!G34),0)</f>
        <v>Пятница</v>
      </c>
    </row>
    <row r="35" spans="1:31">
      <c r="A35">
        <v>35</v>
      </c>
      <c r="B35">
        <v>20241201</v>
      </c>
      <c r="C35">
        <v>1</v>
      </c>
      <c r="D35">
        <v>4</v>
      </c>
      <c r="E35">
        <v>1</v>
      </c>
      <c r="F35" s="1">
        <v>45000</v>
      </c>
      <c r="G35" s="1">
        <v>1125.4000000000001</v>
      </c>
      <c r="H35" s="1">
        <v>50643000</v>
      </c>
      <c r="I35">
        <v>10.199999999999999</v>
      </c>
      <c r="J35" t="str">
        <f>VLOOKUP($D35,Инвестор!$A$2:$F$6,COLUMN(Fact_Инвестиции!B35),0)</f>
        <v>Юридическое лицо</v>
      </c>
      <c r="K35" t="str">
        <f>VLOOKUP($D35,Инвестор!$A$2:$F$6,COLUMN(Fact_Инвестиции!C35),0)</f>
        <v>770187654321</v>
      </c>
      <c r="L35" t="str">
        <f>VLOOKUP($D35,Инвестор!$A$2:$F$6,COLUMN(Fact_Инвестиции!D35),0)</f>
        <v>АО "КапиталТраст"</v>
      </c>
      <c r="M35" t="str">
        <f>VLOOKUP($D35,Инвестор!$A$2:$F$6,COLUMN(Fact_Инвестиции!E35),0)</f>
        <v>Профессиональный</v>
      </c>
      <c r="N35" t="str">
        <f>VLOOKUP($D35,Инвестор!$A$2:$F$6,COLUMN(Fact_Инвестиции!F35),0)</f>
        <v>Москва</v>
      </c>
      <c r="O35" t="str">
        <f>VLOOKUP($C35,Фонд!$A$2:$H$7,COLUMN(Fact_Инвестиции!B35),0)</f>
        <v>RU000A0JXYF1</v>
      </c>
      <c r="P35" t="str">
        <f>VLOOKUP($C35,Фонд!$A$2:$H$7,COLUMN(Fact_Инвестиции!C35),0)</f>
        <v>ОФЗ 26231</v>
      </c>
      <c r="Q35">
        <f>VLOOKUP($C35,Фонд!$A$2:$H$7,COLUMN(Fact_Инвестиции!D35),0)</f>
        <v>1000</v>
      </c>
      <c r="R35" t="str">
        <f>VLOOKUP($C35,Фонд!$A$2:$H$7,COLUMN(Fact_Инвестиции!E35),0)</f>
        <v>RUB</v>
      </c>
      <c r="S35">
        <f>VLOOKUP($C35,Фонд!$A$2:$H$7,COLUMN(Fact_Инвестиции!F35),0)</f>
        <v>47848</v>
      </c>
      <c r="T35" t="str">
        <f>VLOOKUP($C35,Фонд!$A$2:$H$7,COLUMN(Fact_Инвестиции!G35),0)</f>
        <v>Гос. облигация</v>
      </c>
      <c r="U35" t="str">
        <f>VLOOKUP($E35,Фонд!$A$2:$H$7,COLUMN(Fact_Инвестиции!B35),0)</f>
        <v>RU000A0JXYF1</v>
      </c>
      <c r="V35" t="str">
        <f>VLOOKUP($E35,Фонд!$A$2:$H$7,COLUMN(Fact_Инвестиции!C35),0)</f>
        <v>ОФЗ 26231</v>
      </c>
      <c r="W35">
        <f>VLOOKUP($E35,Фонд!$A$2:$H$7,COLUMN(Fact_Инвестиции!D35),0)</f>
        <v>1000</v>
      </c>
      <c r="X35" t="str">
        <f>VLOOKUP($E35,Фонд!$A$2:$H$7,COLUMN(Fact_Инвестиции!E35),0)</f>
        <v>RUB</v>
      </c>
      <c r="Y35">
        <f>VLOOKUP($E35,Фонд!$A$2:$H$7,COLUMN(Fact_Инвестиции!F35),0)</f>
        <v>47848</v>
      </c>
      <c r="Z35">
        <f>VLOOKUP($B35,Время!$A$2:$G$25,COLUMN(Fact_Инвестиции!B35),0)</f>
        <v>45303</v>
      </c>
      <c r="AA35">
        <f>VLOOKUP($B35,Время!$A$2:$G$25,COLUMN(Fact_Инвестиции!C35),0)</f>
        <v>2024</v>
      </c>
      <c r="AB35">
        <f>VLOOKUP($B35,Время!$A$2:$G$25,COLUMN(Fact_Инвестиции!D35),0)</f>
        <v>4</v>
      </c>
      <c r="AC35">
        <f>VLOOKUP($B35,Время!$A$2:$G$25,COLUMN(Fact_Инвестиции!E35),0)</f>
        <v>12</v>
      </c>
      <c r="AD35">
        <f>VLOOKUP($B35,Время!$A$2:$G$25,COLUMN(Fact_Инвестиции!F35),0)</f>
        <v>1</v>
      </c>
      <c r="AE35" t="str">
        <f>VLOOKUP($B35,Время!$A$2:$G$25,COLUMN(Fact_Инвестиции!G35),0)</f>
        <v>Воскресенье</v>
      </c>
    </row>
    <row r="36" spans="1:31">
      <c r="A36">
        <v>36</v>
      </c>
      <c r="B36">
        <v>20241215</v>
      </c>
      <c r="C36">
        <v>2</v>
      </c>
      <c r="D36">
        <v>5</v>
      </c>
      <c r="E36">
        <v>2</v>
      </c>
      <c r="F36" s="1">
        <v>68000</v>
      </c>
      <c r="G36" s="1">
        <v>2253.9</v>
      </c>
      <c r="H36" s="1">
        <v>153265200</v>
      </c>
      <c r="I36">
        <v>11.5</v>
      </c>
      <c r="J36" t="str">
        <f>VLOOKUP($D36,Инвестор!$A$2:$F$6,COLUMN(Fact_Инвестиции!B36),0)</f>
        <v>Физическое лицо</v>
      </c>
      <c r="K36" t="str">
        <f>VLOOKUP($D36,Инвестор!$A$2:$F$6,COLUMN(Fact_Инвестиции!C36),0)</f>
        <v>770134567890</v>
      </c>
      <c r="L36" t="str">
        <f>VLOOKUP($D36,Инвестор!$A$2:$F$6,COLUMN(Fact_Инвестиции!D36),0)</f>
        <v>Кузнецов Дмитрий Сергеевич</v>
      </c>
      <c r="M36" t="str">
        <f>VLOOKUP($D36,Инвестор!$A$2:$F$6,COLUMN(Fact_Инвестиции!E36),0)</f>
        <v>Квалифицированный</v>
      </c>
      <c r="N36" t="str">
        <f>VLOOKUP($D36,Инвестор!$A$2:$F$6,COLUMN(Fact_Инвестиции!F36),0)</f>
        <v>Екатеринбург</v>
      </c>
      <c r="O36" t="str">
        <f>VLOOKUP($C36,Фонд!$A$2:$H$7,COLUMN(Fact_Инвестиции!B36),0)</f>
        <v>RU000A0JX0F2</v>
      </c>
      <c r="P36" t="str">
        <f>VLOOKUP($C36,Фонд!$A$2:$H$7,COLUMN(Fact_Инвестиции!C36),0)</f>
        <v>Газпромбанк-10</v>
      </c>
      <c r="Q36">
        <f>VLOOKUP($C36,Фонд!$A$2:$H$7,COLUMN(Fact_Инвестиции!D36),0)</f>
        <v>1000</v>
      </c>
      <c r="R36" t="str">
        <f>VLOOKUP($C36,Фонд!$A$2:$H$7,COLUMN(Fact_Инвестиции!E36),0)</f>
        <v>RUB</v>
      </c>
      <c r="S36">
        <f>VLOOKUP($C36,Фонд!$A$2:$H$7,COLUMN(Fact_Инвестиции!F36),0)</f>
        <v>46888</v>
      </c>
      <c r="T36" t="str">
        <f>VLOOKUP($C36,Фонд!$A$2:$H$7,COLUMN(Fact_Инвестиции!G36),0)</f>
        <v>Корп. облигация</v>
      </c>
      <c r="U36" t="str">
        <f>VLOOKUP($E36,Фонд!$A$2:$H$7,COLUMN(Fact_Инвестиции!B36),0)</f>
        <v>RU000A0JX0F2</v>
      </c>
      <c r="V36" t="str">
        <f>VLOOKUP($E36,Фонд!$A$2:$H$7,COLUMN(Fact_Инвестиции!C36),0)</f>
        <v>Газпромбанк-10</v>
      </c>
      <c r="W36">
        <f>VLOOKUP($E36,Фонд!$A$2:$H$7,COLUMN(Fact_Инвестиции!D36),0)</f>
        <v>1000</v>
      </c>
      <c r="X36" t="str">
        <f>VLOOKUP($E36,Фонд!$A$2:$H$7,COLUMN(Fact_Инвестиции!E36),0)</f>
        <v>RUB</v>
      </c>
      <c r="Y36">
        <f>VLOOKUP($E36,Фонд!$A$2:$H$7,COLUMN(Fact_Инвестиции!F36),0)</f>
        <v>46888</v>
      </c>
      <c r="Z36">
        <f>VLOOKUP($B36,Время!$A$2:$G$25,COLUMN(Fact_Инвестиции!B36),0)</f>
        <v>45641</v>
      </c>
      <c r="AA36">
        <f>VLOOKUP($B36,Время!$A$2:$G$25,COLUMN(Fact_Инвестиции!C36),0)</f>
        <v>2024</v>
      </c>
      <c r="AB36">
        <f>VLOOKUP($B36,Время!$A$2:$G$25,COLUMN(Fact_Инвестиции!D36),0)</f>
        <v>4</v>
      </c>
      <c r="AC36">
        <f>VLOOKUP($B36,Время!$A$2:$G$25,COLUMN(Fact_Инвестиции!E36),0)</f>
        <v>12</v>
      </c>
      <c r="AD36">
        <f>VLOOKUP($B36,Время!$A$2:$G$25,COLUMN(Fact_Инвестиции!F36),0)</f>
        <v>15</v>
      </c>
      <c r="AE36" t="str">
        <f>VLOOKUP($B36,Время!$A$2:$G$25,COLUMN(Fact_Инвестиции!G36),0)</f>
        <v>Воскресенье</v>
      </c>
    </row>
    <row r="37" spans="1:31">
      <c r="A37">
        <v>37</v>
      </c>
      <c r="B37">
        <v>20241215</v>
      </c>
      <c r="C37">
        <v>3</v>
      </c>
      <c r="D37">
        <v>1</v>
      </c>
      <c r="E37">
        <v>3</v>
      </c>
      <c r="F37" s="1">
        <v>14000</v>
      </c>
      <c r="G37" s="1">
        <v>228.75</v>
      </c>
      <c r="H37" s="1">
        <v>3202500</v>
      </c>
      <c r="I37">
        <v>17.899999999999999</v>
      </c>
      <c r="J37" t="str">
        <f>VLOOKUP($D37,Инвестор!$A$2:$F$6,COLUMN(Fact_Инвестиции!B37),0)</f>
        <v>Физическое лицо</v>
      </c>
      <c r="K37" t="str">
        <f>VLOOKUP($D37,Инвестор!$A$2:$F$6,COLUMN(Fact_Инвестиции!C37),0)</f>
        <v>770112345678</v>
      </c>
      <c r="L37" t="str">
        <f>VLOOKUP($D37,Инвестор!$A$2:$F$6,COLUMN(Fact_Инвестиции!D37),0)</f>
        <v>Иванов Алексей Петрович</v>
      </c>
      <c r="M37" t="str">
        <f>VLOOKUP($D37,Инвестор!$A$2:$F$6,COLUMN(Fact_Инвестиции!E37),0)</f>
        <v>Квалифицированный</v>
      </c>
      <c r="N37" t="str">
        <f>VLOOKUP($D37,Инвестор!$A$2:$F$6,COLUMN(Fact_Инвестиции!F37),0)</f>
        <v>Москва</v>
      </c>
      <c r="O37" t="str">
        <f>VLOOKUP($C37,Фонд!$A$2:$H$7,COLUMN(Fact_Инвестиции!B37),0)</f>
        <v>US0378331005</v>
      </c>
      <c r="P37" t="str">
        <f>VLOOKUP($C37,Фонд!$A$2:$H$7,COLUMN(Fact_Инвестиции!C37),0)</f>
        <v>Apple</v>
      </c>
      <c r="Q37">
        <f>VLOOKUP($C37,Фонд!$A$2:$H$7,COLUMN(Fact_Инвестиции!D37),0)</f>
        <v>0</v>
      </c>
      <c r="R37" t="str">
        <f>VLOOKUP($C37,Фонд!$A$2:$H$7,COLUMN(Fact_Инвестиции!E37),0)</f>
        <v>USD</v>
      </c>
      <c r="S37">
        <f>VLOOKUP($C37,Фонд!$A$2:$H$7,COLUMN(Fact_Инвестиции!F37),0)</f>
        <v>0</v>
      </c>
      <c r="T37" t="str">
        <f>VLOOKUP($C37,Фонд!$A$2:$H$7,COLUMN(Fact_Инвестиции!G37),0)</f>
        <v>Акция</v>
      </c>
      <c r="U37" t="str">
        <f>VLOOKUP($E37,Фонд!$A$2:$H$7,COLUMN(Fact_Инвестиции!B37),0)</f>
        <v>US0378331005</v>
      </c>
      <c r="V37" t="str">
        <f>VLOOKUP($E37,Фонд!$A$2:$H$7,COLUMN(Fact_Инвестиции!C37),0)</f>
        <v>Apple</v>
      </c>
      <c r="W37">
        <f>VLOOKUP($E37,Фонд!$A$2:$H$7,COLUMN(Fact_Инвестиции!D37),0)</f>
        <v>0</v>
      </c>
      <c r="X37" t="str">
        <f>VLOOKUP($E37,Фонд!$A$2:$H$7,COLUMN(Fact_Инвестиции!E37),0)</f>
        <v>USD</v>
      </c>
      <c r="Y37">
        <f>VLOOKUP($E37,Фонд!$A$2:$H$7,COLUMN(Fact_Инвестиции!F37),0)</f>
        <v>0</v>
      </c>
      <c r="Z37">
        <f>VLOOKUP($B37,Время!$A$2:$G$25,COLUMN(Fact_Инвестиции!B37),0)</f>
        <v>45641</v>
      </c>
      <c r="AA37">
        <f>VLOOKUP($B37,Время!$A$2:$G$25,COLUMN(Fact_Инвестиции!C37),0)</f>
        <v>2024</v>
      </c>
      <c r="AB37">
        <f>VLOOKUP($B37,Время!$A$2:$G$25,COLUMN(Fact_Инвестиции!D37),0)</f>
        <v>4</v>
      </c>
      <c r="AC37">
        <f>VLOOKUP($B37,Время!$A$2:$G$25,COLUMN(Fact_Инвестиции!E37),0)</f>
        <v>12</v>
      </c>
      <c r="AD37">
        <f>VLOOKUP($B37,Время!$A$2:$G$25,COLUMN(Fact_Инвестиции!F37),0)</f>
        <v>15</v>
      </c>
      <c r="AE37" t="str">
        <f>VLOOKUP($B37,Время!$A$2:$G$25,COLUMN(Fact_Инвестиции!G37),0)</f>
        <v>Воскресенье</v>
      </c>
    </row>
    <row r="38" spans="1:31">
      <c r="A38">
        <v>38</v>
      </c>
      <c r="B38">
        <v>20241215</v>
      </c>
      <c r="C38">
        <v>4</v>
      </c>
      <c r="D38">
        <v>2</v>
      </c>
      <c r="E38">
        <v>4</v>
      </c>
      <c r="F38" s="1">
        <v>28000</v>
      </c>
      <c r="G38" s="1">
        <v>3460.25</v>
      </c>
      <c r="H38" s="1">
        <v>96887000</v>
      </c>
      <c r="I38">
        <v>10</v>
      </c>
      <c r="J38" t="str">
        <f>VLOOKUP($D38,Инвестор!$A$2:$F$6,COLUMN(Fact_Инвестиции!B38),0)</f>
        <v>Юридическое лицо</v>
      </c>
      <c r="K38" t="str">
        <f>VLOOKUP($D38,Инвестор!$A$2:$F$6,COLUMN(Fact_Инвестиции!C38),0)</f>
        <v>770198765432</v>
      </c>
      <c r="L38" t="str">
        <f>VLOOKUP($D38,Инвестор!$A$2:$F$6,COLUMN(Fact_Инвестиции!D38),0)</f>
        <v>ООО "ИнвестПро"</v>
      </c>
      <c r="M38" t="str">
        <f>VLOOKUP($D38,Инвестор!$A$2:$F$6,COLUMN(Fact_Инвестиции!E38),0)</f>
        <v>Профессиональный</v>
      </c>
      <c r="N38" t="str">
        <f>VLOOKUP($D38,Инвестор!$A$2:$F$6,COLUMN(Fact_Инвестиции!F38),0)</f>
        <v>Санкт-Петербург</v>
      </c>
      <c r="O38" t="str">
        <f>VLOOKUP($C38,Фонд!$A$2:$H$7,COLUMN(Fact_Инвестиции!B38),0)</f>
        <v>US5949181045</v>
      </c>
      <c r="P38" t="str">
        <f>VLOOKUP($C38,Фонд!$A$2:$H$7,COLUMN(Fact_Инвестиции!C38),0)</f>
        <v>Microsoft</v>
      </c>
      <c r="Q38">
        <f>VLOOKUP($C38,Фонд!$A$2:$H$7,COLUMN(Fact_Инвестиции!D38),0)</f>
        <v>0</v>
      </c>
      <c r="R38" t="str">
        <f>VLOOKUP($C38,Фонд!$A$2:$H$7,COLUMN(Fact_Инвестиции!E38),0)</f>
        <v>USD</v>
      </c>
      <c r="S38">
        <f>VLOOKUP($C38,Фонд!$A$2:$H$7,COLUMN(Fact_Инвестиции!F38),0)</f>
        <v>0</v>
      </c>
      <c r="T38" t="str">
        <f>VLOOKUP($C38,Фонд!$A$2:$H$7,COLUMN(Fact_Инвестиции!G38),0)</f>
        <v>Акция</v>
      </c>
      <c r="U38" t="str">
        <f>VLOOKUP($E38,Фонд!$A$2:$H$7,COLUMN(Fact_Инвестиции!B38),0)</f>
        <v>US5949181045</v>
      </c>
      <c r="V38" t="str">
        <f>VLOOKUP($E38,Фонд!$A$2:$H$7,COLUMN(Fact_Инвестиции!C38),0)</f>
        <v>Microsoft</v>
      </c>
      <c r="W38">
        <f>VLOOKUP($E38,Фонд!$A$2:$H$7,COLUMN(Fact_Инвестиции!D38),0)</f>
        <v>0</v>
      </c>
      <c r="X38" t="str">
        <f>VLOOKUP($E38,Фонд!$A$2:$H$7,COLUMN(Fact_Инвестиции!E38),0)</f>
        <v>USD</v>
      </c>
      <c r="Y38">
        <f>VLOOKUP($E38,Фонд!$A$2:$H$7,COLUMN(Fact_Инвестиции!F38),0)</f>
        <v>0</v>
      </c>
      <c r="Z38">
        <f>VLOOKUP($B38,Время!$A$2:$G$25,COLUMN(Fact_Инвестиции!B38),0)</f>
        <v>45641</v>
      </c>
      <c r="AA38">
        <f>VLOOKUP($B38,Время!$A$2:$G$25,COLUMN(Fact_Инвестиции!C38),0)</f>
        <v>2024</v>
      </c>
      <c r="AB38">
        <f>VLOOKUP($B38,Время!$A$2:$G$25,COLUMN(Fact_Инвестиции!D38),0)</f>
        <v>4</v>
      </c>
      <c r="AC38">
        <f>VLOOKUP($B38,Время!$A$2:$G$25,COLUMN(Fact_Инвестиции!E38),0)</f>
        <v>12</v>
      </c>
      <c r="AD38">
        <f>VLOOKUP($B38,Время!$A$2:$G$25,COLUMN(Fact_Инвестиции!F38),0)</f>
        <v>15</v>
      </c>
      <c r="AE38" t="str">
        <f>VLOOKUP($B38,Время!$A$2:$G$25,COLUMN(Fact_Инвестиции!G38),0)</f>
        <v>Воскресенье</v>
      </c>
    </row>
    <row r="39" spans="1:31">
      <c r="A39">
        <v>39</v>
      </c>
      <c r="B39">
        <v>20241215</v>
      </c>
      <c r="C39">
        <v>1</v>
      </c>
      <c r="D39">
        <v>3</v>
      </c>
      <c r="E39">
        <v>1</v>
      </c>
      <c r="F39" s="1">
        <v>50000</v>
      </c>
      <c r="G39" s="1">
        <v>1142.8</v>
      </c>
      <c r="H39" s="1">
        <v>57140000</v>
      </c>
      <c r="I39">
        <v>10.8</v>
      </c>
      <c r="J39" t="str">
        <f>VLOOKUP($D39,Инвестор!$A$2:$F$6,COLUMN(Fact_Инвестиции!B39),0)</f>
        <v>Физическое лицо</v>
      </c>
      <c r="K39" t="str">
        <f>VLOOKUP($D39,Инвестор!$A$2:$F$6,COLUMN(Fact_Инвестиции!C39),0)</f>
        <v>770123456789</v>
      </c>
      <c r="L39" t="str">
        <f>VLOOKUP($D39,Инвестор!$A$2:$F$6,COLUMN(Fact_Инвестиции!D39),0)</f>
        <v>Смирнова Мария Игоревна</v>
      </c>
      <c r="M39" t="str">
        <f>VLOOKUP($D39,Инвестор!$A$2:$F$6,COLUMN(Fact_Инвестиции!E39),0)</f>
        <v>Неквалифицированный</v>
      </c>
      <c r="N39" t="str">
        <f>VLOOKUP($D39,Инвестор!$A$2:$F$6,COLUMN(Fact_Инвестиции!F39),0)</f>
        <v>Новосибирск</v>
      </c>
      <c r="O39" t="str">
        <f>VLOOKUP($C39,Фонд!$A$2:$H$7,COLUMN(Fact_Инвестиции!B39),0)</f>
        <v>RU000A0JXYF1</v>
      </c>
      <c r="P39" t="str">
        <f>VLOOKUP($C39,Фонд!$A$2:$H$7,COLUMN(Fact_Инвестиции!C39),0)</f>
        <v>ОФЗ 26231</v>
      </c>
      <c r="Q39">
        <f>VLOOKUP($C39,Фонд!$A$2:$H$7,COLUMN(Fact_Инвестиции!D39),0)</f>
        <v>1000</v>
      </c>
      <c r="R39" t="str">
        <f>VLOOKUP($C39,Фонд!$A$2:$H$7,COLUMN(Fact_Инвестиции!E39),0)</f>
        <v>RUB</v>
      </c>
      <c r="S39">
        <f>VLOOKUP($C39,Фонд!$A$2:$H$7,COLUMN(Fact_Инвестиции!F39),0)</f>
        <v>47848</v>
      </c>
      <c r="T39" t="str">
        <f>VLOOKUP($C39,Фонд!$A$2:$H$7,COLUMN(Fact_Инвестиции!G39),0)</f>
        <v>Гос. облигация</v>
      </c>
      <c r="U39" t="str">
        <f>VLOOKUP($E39,Фонд!$A$2:$H$7,COLUMN(Fact_Инвестиции!B39),0)</f>
        <v>RU000A0JXYF1</v>
      </c>
      <c r="V39" t="str">
        <f>VLOOKUP($E39,Фонд!$A$2:$H$7,COLUMN(Fact_Инвестиции!C39),0)</f>
        <v>ОФЗ 26231</v>
      </c>
      <c r="W39">
        <f>VLOOKUP($E39,Фонд!$A$2:$H$7,COLUMN(Fact_Инвестиции!D39),0)</f>
        <v>1000</v>
      </c>
      <c r="X39" t="str">
        <f>VLOOKUP($E39,Фонд!$A$2:$H$7,COLUMN(Fact_Инвестиции!E39),0)</f>
        <v>RUB</v>
      </c>
      <c r="Y39">
        <f>VLOOKUP($E39,Фонд!$A$2:$H$7,COLUMN(Fact_Инвестиции!F39),0)</f>
        <v>47848</v>
      </c>
      <c r="Z39">
        <f>VLOOKUP($B39,Время!$A$2:$G$25,COLUMN(Fact_Инвестиции!B39),0)</f>
        <v>45641</v>
      </c>
      <c r="AA39">
        <f>VLOOKUP($B39,Время!$A$2:$G$25,COLUMN(Fact_Инвестиции!C39),0)</f>
        <v>2024</v>
      </c>
      <c r="AB39">
        <f>VLOOKUP($B39,Время!$A$2:$G$25,COLUMN(Fact_Инвестиции!D39),0)</f>
        <v>4</v>
      </c>
      <c r="AC39">
        <f>VLOOKUP($B39,Время!$A$2:$G$25,COLUMN(Fact_Инвестиции!E39),0)</f>
        <v>12</v>
      </c>
      <c r="AD39">
        <f>VLOOKUP($B39,Время!$A$2:$G$25,COLUMN(Fact_Инвестиции!F39),0)</f>
        <v>15</v>
      </c>
      <c r="AE39" t="str">
        <f>VLOOKUP($B39,Время!$A$2:$G$25,COLUMN(Fact_Инвестиции!G39),0)</f>
        <v>Воскресенье</v>
      </c>
    </row>
    <row r="40" spans="1:31">
      <c r="A40">
        <v>40</v>
      </c>
      <c r="B40">
        <v>20241215</v>
      </c>
      <c r="C40">
        <v>2</v>
      </c>
      <c r="D40">
        <v>4</v>
      </c>
      <c r="E40">
        <v>2</v>
      </c>
      <c r="F40" s="1">
        <v>70000</v>
      </c>
      <c r="G40" s="1">
        <v>2280.5</v>
      </c>
      <c r="H40" s="1">
        <v>159635000</v>
      </c>
      <c r="I40">
        <v>12</v>
      </c>
      <c r="J40" t="str">
        <f>VLOOKUP($D40,Инвестор!$A$2:$F$6,COLUMN(Fact_Инвестиции!B40),0)</f>
        <v>Юридическое лицо</v>
      </c>
      <c r="K40" t="str">
        <f>VLOOKUP($D40,Инвестор!$A$2:$F$6,COLUMN(Fact_Инвестиции!C40),0)</f>
        <v>770187654321</v>
      </c>
      <c r="L40" t="str">
        <f>VLOOKUP($D40,Инвестор!$A$2:$F$6,COLUMN(Fact_Инвестиции!D40),0)</f>
        <v>АО "КапиталТраст"</v>
      </c>
      <c r="M40" t="str">
        <f>VLOOKUP($D40,Инвестор!$A$2:$F$6,COLUMN(Fact_Инвестиции!E40),0)</f>
        <v>Профессиональный</v>
      </c>
      <c r="N40" t="str">
        <f>VLOOKUP($D40,Инвестор!$A$2:$F$6,COLUMN(Fact_Инвестиции!F40),0)</f>
        <v>Москва</v>
      </c>
      <c r="O40" t="str">
        <f>VLOOKUP($C40,Фонд!$A$2:$H$7,COLUMN(Fact_Инвестиции!B40),0)</f>
        <v>RU000A0JX0F2</v>
      </c>
      <c r="P40" t="str">
        <f>VLOOKUP($C40,Фонд!$A$2:$H$7,COLUMN(Fact_Инвестиции!C40),0)</f>
        <v>Газпромбанк-10</v>
      </c>
      <c r="Q40">
        <f>VLOOKUP($C40,Фонд!$A$2:$H$7,COLUMN(Fact_Инвестиции!D40),0)</f>
        <v>1000</v>
      </c>
      <c r="R40" t="str">
        <f>VLOOKUP($C40,Фонд!$A$2:$H$7,COLUMN(Fact_Инвестиции!E40),0)</f>
        <v>RUB</v>
      </c>
      <c r="S40">
        <f>VLOOKUP($C40,Фонд!$A$2:$H$7,COLUMN(Fact_Инвестиции!F40),0)</f>
        <v>46888</v>
      </c>
      <c r="T40" t="str">
        <f>VLOOKUP($C40,Фонд!$A$2:$H$7,COLUMN(Fact_Инвестиции!G40),0)</f>
        <v>Корп. облигация</v>
      </c>
      <c r="U40" t="str">
        <f>VLOOKUP($E40,Фонд!$A$2:$H$7,COLUMN(Fact_Инвестиции!B40),0)</f>
        <v>RU000A0JX0F2</v>
      </c>
      <c r="V40" t="str">
        <f>VLOOKUP($E40,Фонд!$A$2:$H$7,COLUMN(Fact_Инвестиции!C40),0)</f>
        <v>Газпромбанк-10</v>
      </c>
      <c r="W40">
        <f>VLOOKUP($E40,Фонд!$A$2:$H$7,COLUMN(Fact_Инвестиции!D40),0)</f>
        <v>1000</v>
      </c>
      <c r="X40" t="str">
        <f>VLOOKUP($E40,Фонд!$A$2:$H$7,COLUMN(Fact_Инвестиции!E40),0)</f>
        <v>RUB</v>
      </c>
      <c r="Y40">
        <f>VLOOKUP($E40,Фонд!$A$2:$H$7,COLUMN(Fact_Инвестиции!F40),0)</f>
        <v>46888</v>
      </c>
      <c r="Z40">
        <f>VLOOKUP($B40,Время!$A$2:$G$25,COLUMN(Fact_Инвестиции!B40),0)</f>
        <v>45641</v>
      </c>
      <c r="AA40">
        <f>VLOOKUP($B40,Время!$A$2:$G$25,COLUMN(Fact_Инвестиции!C40),0)</f>
        <v>2024</v>
      </c>
      <c r="AB40">
        <f>VLOOKUP($B40,Время!$A$2:$G$25,COLUMN(Fact_Инвестиции!D40),0)</f>
        <v>4</v>
      </c>
      <c r="AC40">
        <f>VLOOKUP($B40,Время!$A$2:$G$25,COLUMN(Fact_Инвестиции!E40),0)</f>
        <v>12</v>
      </c>
      <c r="AD40">
        <f>VLOOKUP($B40,Время!$A$2:$G$25,COLUMN(Fact_Инвестиции!F40),0)</f>
        <v>15</v>
      </c>
      <c r="AE40" t="str">
        <f>VLOOKUP($B40,Время!$A$2:$G$25,COLUMN(Fact_Инвестиции!G40),0)</f>
        <v>Воскресенье</v>
      </c>
    </row>
    <row r="41" spans="1:31">
      <c r="A41">
        <v>41</v>
      </c>
      <c r="B41">
        <v>20240101</v>
      </c>
      <c r="C41">
        <v>1</v>
      </c>
      <c r="D41">
        <v>1</v>
      </c>
      <c r="E41">
        <v>1</v>
      </c>
      <c r="F41" s="1">
        <v>10000</v>
      </c>
      <c r="G41" s="1">
        <v>1050.5</v>
      </c>
      <c r="H41" s="1">
        <v>10505000</v>
      </c>
      <c r="I41">
        <v>7.2</v>
      </c>
      <c r="J41" t="str">
        <f>VLOOKUP($D41,Инвестор!$A$2:$F$6,COLUMN(Fact_Инвестиции!B41),0)</f>
        <v>Физическое лицо</v>
      </c>
      <c r="K41" t="str">
        <f>VLOOKUP($D41,Инвестор!$A$2:$F$6,COLUMN(Fact_Инвестиции!C41),0)</f>
        <v>770112345678</v>
      </c>
      <c r="L41" t="str">
        <f>VLOOKUP($D41,Инвестор!$A$2:$F$6,COLUMN(Fact_Инвестиции!D41),0)</f>
        <v>Иванов Алексей Петрович</v>
      </c>
      <c r="M41" t="str">
        <f>VLOOKUP($D41,Инвестор!$A$2:$F$6,COLUMN(Fact_Инвестиции!E41),0)</f>
        <v>Квалифицированный</v>
      </c>
      <c r="N41" t="str">
        <f>VLOOKUP($D41,Инвестор!$A$2:$F$6,COLUMN(Fact_Инвестиции!F41),0)</f>
        <v>Москва</v>
      </c>
      <c r="O41" t="str">
        <f>VLOOKUP($C41,Фонд!$A$2:$H$7,COLUMN(Fact_Инвестиции!B41),0)</f>
        <v>RU000A0JXYF1</v>
      </c>
      <c r="P41" t="str">
        <f>VLOOKUP($C41,Фонд!$A$2:$H$7,COLUMN(Fact_Инвестиции!C41),0)</f>
        <v>ОФЗ 26231</v>
      </c>
      <c r="Q41">
        <f>VLOOKUP($C41,Фонд!$A$2:$H$7,COLUMN(Fact_Инвестиции!D41),0)</f>
        <v>1000</v>
      </c>
      <c r="R41" t="str">
        <f>VLOOKUP($C41,Фонд!$A$2:$H$7,COLUMN(Fact_Инвестиции!E41),0)</f>
        <v>RUB</v>
      </c>
      <c r="S41">
        <f>VLOOKUP($C41,Фонд!$A$2:$H$7,COLUMN(Fact_Инвестиции!F41),0)</f>
        <v>47848</v>
      </c>
      <c r="T41" t="str">
        <f>VLOOKUP($C41,Фонд!$A$2:$H$7,COLUMN(Fact_Инвестиции!G41),0)</f>
        <v>Гос. облигация</v>
      </c>
      <c r="U41" t="str">
        <f>VLOOKUP($E41,Фонд!$A$2:$H$7,COLUMN(Fact_Инвестиции!B41),0)</f>
        <v>RU000A0JXYF1</v>
      </c>
      <c r="V41" t="str">
        <f>VLOOKUP($E41,Фонд!$A$2:$H$7,COLUMN(Fact_Инвестиции!C41),0)</f>
        <v>ОФЗ 26231</v>
      </c>
      <c r="W41">
        <f>VLOOKUP($E41,Фонд!$A$2:$H$7,COLUMN(Fact_Инвестиции!D41),0)</f>
        <v>1000</v>
      </c>
      <c r="X41" t="str">
        <f>VLOOKUP($E41,Фонд!$A$2:$H$7,COLUMN(Fact_Инвестиции!E41),0)</f>
        <v>RUB</v>
      </c>
      <c r="Y41">
        <f>VLOOKUP($E41,Фонд!$A$2:$H$7,COLUMN(Fact_Инвестиции!F41),0)</f>
        <v>47848</v>
      </c>
      <c r="Z41">
        <f>VLOOKUP($B41,Время!$A$2:$G$25,COLUMN(Fact_Инвестиции!B41),0)</f>
        <v>45292</v>
      </c>
      <c r="AA41">
        <f>VLOOKUP($B41,Время!$A$2:$G$25,COLUMN(Fact_Инвестиции!C41),0)</f>
        <v>2024</v>
      </c>
      <c r="AB41">
        <f>VLOOKUP($B41,Время!$A$2:$G$25,COLUMN(Fact_Инвестиции!D41),0)</f>
        <v>1</v>
      </c>
      <c r="AC41">
        <f>VLOOKUP($B41,Время!$A$2:$G$25,COLUMN(Fact_Инвестиции!E41),0)</f>
        <v>1</v>
      </c>
      <c r="AD41">
        <f>VLOOKUP($B41,Время!$A$2:$G$25,COLUMN(Fact_Инвестиции!F41),0)</f>
        <v>1</v>
      </c>
      <c r="AE41" t="str">
        <f>VLOOKUP($B41,Время!$A$2:$G$25,COLUMN(Fact_Инвестиции!G41),0)</f>
        <v>Понедельник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B1" sqref="B1:G1"/>
    </sheetView>
  </sheetViews>
  <sheetFormatPr defaultRowHeight="12.75"/>
  <cols>
    <col min="6" max="6" width="16" bestFit="1" customWidth="1"/>
  </cols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>
      <c r="A2">
        <v>1</v>
      </c>
      <c r="B2" t="s">
        <v>17</v>
      </c>
      <c r="C2" t="s">
        <v>18</v>
      </c>
      <c r="D2" s="1">
        <v>1000</v>
      </c>
      <c r="E2" t="s">
        <v>19</v>
      </c>
      <c r="F2" s="2">
        <v>47848</v>
      </c>
      <c r="G2" t="s">
        <v>20</v>
      </c>
      <c r="H2">
        <v>6</v>
      </c>
    </row>
    <row r="3" spans="1:8">
      <c r="A3">
        <v>2</v>
      </c>
      <c r="B3" t="s">
        <v>21</v>
      </c>
      <c r="C3" t="s">
        <v>22</v>
      </c>
      <c r="D3" s="1">
        <v>1000</v>
      </c>
      <c r="E3" t="s">
        <v>19</v>
      </c>
      <c r="F3" s="2">
        <v>46888</v>
      </c>
      <c r="G3" t="s">
        <v>23</v>
      </c>
      <c r="H3">
        <v>1</v>
      </c>
    </row>
    <row r="4" spans="1:8">
      <c r="A4">
        <v>3</v>
      </c>
      <c r="B4" t="s">
        <v>24</v>
      </c>
      <c r="C4" t="s">
        <v>25</v>
      </c>
      <c r="D4" s="1">
        <v>0</v>
      </c>
      <c r="E4" t="s">
        <v>26</v>
      </c>
      <c r="G4" t="s">
        <v>27</v>
      </c>
      <c r="H4">
        <v>4</v>
      </c>
    </row>
    <row r="5" spans="1:8">
      <c r="A5">
        <v>4</v>
      </c>
      <c r="B5" t="s">
        <v>28</v>
      </c>
      <c r="C5" t="s">
        <v>29</v>
      </c>
      <c r="D5" s="1">
        <v>0</v>
      </c>
      <c r="E5" t="s">
        <v>26</v>
      </c>
      <c r="G5" t="s">
        <v>27</v>
      </c>
      <c r="H5">
        <v>5</v>
      </c>
    </row>
    <row r="6" spans="1:8">
      <c r="A6">
        <v>5</v>
      </c>
      <c r="B6" t="s">
        <v>30</v>
      </c>
      <c r="C6" t="s">
        <v>31</v>
      </c>
      <c r="D6" s="1">
        <v>1000</v>
      </c>
      <c r="E6" t="s">
        <v>19</v>
      </c>
      <c r="F6" s="2">
        <v>47411</v>
      </c>
      <c r="G6" t="s">
        <v>23</v>
      </c>
      <c r="H6">
        <v>2</v>
      </c>
    </row>
    <row r="7" spans="1:8">
      <c r="A7">
        <v>6</v>
      </c>
      <c r="B7" t="s">
        <v>32</v>
      </c>
      <c r="C7" t="s">
        <v>33</v>
      </c>
      <c r="D7" s="1">
        <v>1000</v>
      </c>
      <c r="E7" t="s">
        <v>19</v>
      </c>
      <c r="F7" s="2">
        <v>46663</v>
      </c>
      <c r="G7" t="s">
        <v>23</v>
      </c>
      <c r="H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1" sqref="B1:F1"/>
    </sheetView>
  </sheetViews>
  <sheetFormatPr defaultRowHeight="12.75"/>
  <cols>
    <col min="4" max="4" width="14.85546875" bestFit="1" customWidth="1"/>
  </cols>
  <sheetData>
    <row r="1" spans="1:7">
      <c r="A1" t="s">
        <v>9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>
      <c r="A2">
        <v>1</v>
      </c>
      <c r="B2" t="s">
        <v>40</v>
      </c>
      <c r="C2" t="s">
        <v>41</v>
      </c>
      <c r="D2" s="2">
        <v>43831</v>
      </c>
      <c r="E2" t="s">
        <v>42</v>
      </c>
      <c r="F2" t="s">
        <v>19</v>
      </c>
      <c r="G2">
        <v>1</v>
      </c>
    </row>
    <row r="3" spans="1:7">
      <c r="A3">
        <v>2</v>
      </c>
      <c r="B3" t="s">
        <v>43</v>
      </c>
      <c r="C3" t="s">
        <v>44</v>
      </c>
      <c r="D3" s="2">
        <v>43539</v>
      </c>
      <c r="E3" t="s">
        <v>42</v>
      </c>
      <c r="F3" t="s">
        <v>19</v>
      </c>
      <c r="G3">
        <v>2</v>
      </c>
    </row>
    <row r="4" spans="1:7">
      <c r="A4">
        <v>3</v>
      </c>
      <c r="B4" t="s">
        <v>45</v>
      </c>
      <c r="C4" t="s">
        <v>46</v>
      </c>
      <c r="D4" s="2">
        <v>44475</v>
      </c>
      <c r="E4" t="s">
        <v>42</v>
      </c>
      <c r="F4" t="s">
        <v>26</v>
      </c>
      <c r="G4">
        <v>3</v>
      </c>
    </row>
    <row r="5" spans="1:7">
      <c r="A5">
        <v>4</v>
      </c>
      <c r="B5" t="s">
        <v>47</v>
      </c>
      <c r="C5" t="s">
        <v>48</v>
      </c>
      <c r="D5" s="2">
        <v>43231</v>
      </c>
      <c r="E5" t="s">
        <v>42</v>
      </c>
      <c r="F5" t="s">
        <v>19</v>
      </c>
      <c r="G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B1" sqref="B1:F1"/>
    </sheetView>
  </sheetViews>
  <sheetFormatPr defaultRowHeight="12.75"/>
  <sheetData>
    <row r="1" spans="1:6">
      <c r="A1" t="s">
        <v>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>
      <c r="A2">
        <v>1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3" spans="1:6">
      <c r="A3">
        <v>2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</row>
    <row r="4" spans="1:6">
      <c r="A4">
        <v>3</v>
      </c>
      <c r="B4" t="s">
        <v>54</v>
      </c>
      <c r="C4" t="s">
        <v>64</v>
      </c>
      <c r="D4" t="s">
        <v>65</v>
      </c>
      <c r="E4" t="s">
        <v>66</v>
      </c>
      <c r="F4" t="s">
        <v>67</v>
      </c>
    </row>
    <row r="5" spans="1:6">
      <c r="A5">
        <v>4</v>
      </c>
      <c r="B5" t="s">
        <v>59</v>
      </c>
      <c r="C5" t="s">
        <v>68</v>
      </c>
      <c r="D5" t="s">
        <v>69</v>
      </c>
      <c r="E5" t="s">
        <v>62</v>
      </c>
      <c r="F5" t="s">
        <v>58</v>
      </c>
    </row>
    <row r="6" spans="1:6">
      <c r="A6">
        <v>5</v>
      </c>
      <c r="B6" t="s">
        <v>54</v>
      </c>
      <c r="C6" t="s">
        <v>70</v>
      </c>
      <c r="D6" t="s">
        <v>71</v>
      </c>
      <c r="E6" t="s">
        <v>57</v>
      </c>
      <c r="F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selection activeCell="B1" sqref="B1:G1"/>
    </sheetView>
  </sheetViews>
  <sheetFormatPr defaultRowHeight="12.75"/>
  <cols>
    <col min="2" max="2" width="9.85546875" bestFit="1" customWidth="1"/>
  </cols>
  <sheetData>
    <row r="1" spans="1:7">
      <c r="A1" t="s">
        <v>1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>
      <c r="A2">
        <v>20240101</v>
      </c>
      <c r="B2" s="2">
        <v>45292</v>
      </c>
      <c r="C2">
        <v>2024</v>
      </c>
      <c r="D2">
        <v>1</v>
      </c>
      <c r="E2">
        <v>1</v>
      </c>
      <c r="F2">
        <v>1</v>
      </c>
      <c r="G2" t="s">
        <v>79</v>
      </c>
    </row>
    <row r="3" spans="1:7">
      <c r="A3">
        <v>20240115</v>
      </c>
      <c r="B3" s="2">
        <v>45306</v>
      </c>
      <c r="C3">
        <v>2024</v>
      </c>
      <c r="D3">
        <v>1</v>
      </c>
      <c r="E3">
        <v>1</v>
      </c>
      <c r="F3">
        <v>15</v>
      </c>
      <c r="G3" t="s">
        <v>79</v>
      </c>
    </row>
    <row r="4" spans="1:7">
      <c r="A4">
        <v>20240201</v>
      </c>
      <c r="B4" s="2">
        <v>45293</v>
      </c>
      <c r="C4">
        <v>2024</v>
      </c>
      <c r="D4">
        <v>1</v>
      </c>
      <c r="E4">
        <v>2</v>
      </c>
      <c r="F4">
        <v>1</v>
      </c>
      <c r="G4" t="s">
        <v>80</v>
      </c>
    </row>
    <row r="5" spans="1:7">
      <c r="A5">
        <v>20240215</v>
      </c>
      <c r="B5" s="2">
        <v>45337</v>
      </c>
      <c r="C5">
        <v>2024</v>
      </c>
      <c r="D5">
        <v>1</v>
      </c>
      <c r="E5">
        <v>2</v>
      </c>
      <c r="F5">
        <v>15</v>
      </c>
      <c r="G5" t="s">
        <v>80</v>
      </c>
    </row>
    <row r="6" spans="1:7">
      <c r="A6">
        <v>20240301</v>
      </c>
      <c r="B6" s="2">
        <v>45294</v>
      </c>
      <c r="C6">
        <v>2024</v>
      </c>
      <c r="D6">
        <v>1</v>
      </c>
      <c r="E6">
        <v>3</v>
      </c>
      <c r="F6">
        <v>1</v>
      </c>
      <c r="G6" t="s">
        <v>81</v>
      </c>
    </row>
    <row r="7" spans="1:7">
      <c r="A7">
        <v>20240315</v>
      </c>
      <c r="B7" s="2">
        <v>45366</v>
      </c>
      <c r="C7">
        <v>2024</v>
      </c>
      <c r="D7">
        <v>1</v>
      </c>
      <c r="E7">
        <v>3</v>
      </c>
      <c r="F7">
        <v>15</v>
      </c>
      <c r="G7" t="s">
        <v>81</v>
      </c>
    </row>
    <row r="8" spans="1:7">
      <c r="A8">
        <v>20240401</v>
      </c>
      <c r="B8" s="2">
        <v>45295</v>
      </c>
      <c r="C8">
        <v>2024</v>
      </c>
      <c r="D8">
        <v>2</v>
      </c>
      <c r="E8">
        <v>4</v>
      </c>
      <c r="F8">
        <v>1</v>
      </c>
      <c r="G8" t="s">
        <v>79</v>
      </c>
    </row>
    <row r="9" spans="1:7">
      <c r="A9">
        <v>20240415</v>
      </c>
      <c r="B9" s="2">
        <v>45397</v>
      </c>
      <c r="C9">
        <v>2024</v>
      </c>
      <c r="D9">
        <v>2</v>
      </c>
      <c r="E9">
        <v>4</v>
      </c>
      <c r="F9">
        <v>15</v>
      </c>
      <c r="G9" t="s">
        <v>79</v>
      </c>
    </row>
    <row r="10" spans="1:7">
      <c r="A10">
        <v>20240501</v>
      </c>
      <c r="B10" s="2">
        <v>45296</v>
      </c>
      <c r="C10">
        <v>2024</v>
      </c>
      <c r="D10">
        <v>2</v>
      </c>
      <c r="E10">
        <v>5</v>
      </c>
      <c r="F10">
        <v>1</v>
      </c>
      <c r="G10" t="s">
        <v>82</v>
      </c>
    </row>
    <row r="11" spans="1:7">
      <c r="A11">
        <v>20240515</v>
      </c>
      <c r="B11" s="2">
        <v>45427</v>
      </c>
      <c r="C11">
        <v>2024</v>
      </c>
      <c r="D11">
        <v>2</v>
      </c>
      <c r="E11">
        <v>5</v>
      </c>
      <c r="F11">
        <v>15</v>
      </c>
      <c r="G11" t="s">
        <v>82</v>
      </c>
    </row>
    <row r="12" spans="1:7">
      <c r="A12">
        <v>20240601</v>
      </c>
      <c r="B12" s="2">
        <v>45297</v>
      </c>
      <c r="C12">
        <v>2024</v>
      </c>
      <c r="D12">
        <v>2</v>
      </c>
      <c r="E12">
        <v>6</v>
      </c>
      <c r="F12">
        <v>1</v>
      </c>
      <c r="G12" t="s">
        <v>83</v>
      </c>
    </row>
    <row r="13" spans="1:7">
      <c r="A13">
        <v>20240615</v>
      </c>
      <c r="B13" s="2">
        <v>45458</v>
      </c>
      <c r="C13">
        <v>2024</v>
      </c>
      <c r="D13">
        <v>2</v>
      </c>
      <c r="E13">
        <v>6</v>
      </c>
      <c r="F13">
        <v>15</v>
      </c>
      <c r="G13" t="s">
        <v>83</v>
      </c>
    </row>
    <row r="14" spans="1:7">
      <c r="A14">
        <v>20240701</v>
      </c>
      <c r="B14" s="2">
        <v>45298</v>
      </c>
      <c r="C14">
        <v>2024</v>
      </c>
      <c r="D14">
        <v>3</v>
      </c>
      <c r="E14">
        <v>7</v>
      </c>
      <c r="F14">
        <v>1</v>
      </c>
      <c r="G14" t="s">
        <v>79</v>
      </c>
    </row>
    <row r="15" spans="1:7">
      <c r="A15">
        <v>20240715</v>
      </c>
      <c r="B15" s="2">
        <v>45488</v>
      </c>
      <c r="C15">
        <v>2024</v>
      </c>
      <c r="D15">
        <v>3</v>
      </c>
      <c r="E15">
        <v>7</v>
      </c>
      <c r="F15">
        <v>15</v>
      </c>
      <c r="G15" t="s">
        <v>79</v>
      </c>
    </row>
    <row r="16" spans="1:7">
      <c r="A16">
        <v>20240801</v>
      </c>
      <c r="B16" s="2">
        <v>45299</v>
      </c>
      <c r="C16">
        <v>2024</v>
      </c>
      <c r="D16">
        <v>3</v>
      </c>
      <c r="E16">
        <v>8</v>
      </c>
      <c r="F16">
        <v>1</v>
      </c>
      <c r="G16" t="s">
        <v>80</v>
      </c>
    </row>
    <row r="17" spans="1:7">
      <c r="A17">
        <v>20240815</v>
      </c>
      <c r="B17" s="2">
        <v>45519</v>
      </c>
      <c r="C17">
        <v>2024</v>
      </c>
      <c r="D17">
        <v>3</v>
      </c>
      <c r="E17">
        <v>8</v>
      </c>
      <c r="F17">
        <v>15</v>
      </c>
      <c r="G17" t="s">
        <v>80</v>
      </c>
    </row>
    <row r="18" spans="1:7">
      <c r="A18">
        <v>20240901</v>
      </c>
      <c r="B18" s="2">
        <v>45300</v>
      </c>
      <c r="C18">
        <v>2024</v>
      </c>
      <c r="D18">
        <v>3</v>
      </c>
      <c r="E18">
        <v>9</v>
      </c>
      <c r="F18">
        <v>1</v>
      </c>
      <c r="G18" t="s">
        <v>84</v>
      </c>
    </row>
    <row r="19" spans="1:7">
      <c r="A19">
        <v>20240915</v>
      </c>
      <c r="B19" s="2">
        <v>45550</v>
      </c>
      <c r="C19">
        <v>2024</v>
      </c>
      <c r="D19">
        <v>3</v>
      </c>
      <c r="E19">
        <v>9</v>
      </c>
      <c r="F19">
        <v>15</v>
      </c>
      <c r="G19" t="s">
        <v>84</v>
      </c>
    </row>
    <row r="20" spans="1:7">
      <c r="A20">
        <v>20241001</v>
      </c>
      <c r="B20" s="2">
        <v>45301</v>
      </c>
      <c r="C20">
        <v>2024</v>
      </c>
      <c r="D20">
        <v>4</v>
      </c>
      <c r="E20">
        <v>10</v>
      </c>
      <c r="F20">
        <v>1</v>
      </c>
      <c r="G20" t="s">
        <v>85</v>
      </c>
    </row>
    <row r="21" spans="1:7">
      <c r="A21">
        <v>20241015</v>
      </c>
      <c r="B21" s="2">
        <v>45580</v>
      </c>
      <c r="C21">
        <v>2024</v>
      </c>
      <c r="D21">
        <v>4</v>
      </c>
      <c r="E21">
        <v>10</v>
      </c>
      <c r="F21">
        <v>15</v>
      </c>
      <c r="G21" t="s">
        <v>85</v>
      </c>
    </row>
    <row r="22" spans="1:7">
      <c r="A22">
        <v>20241101</v>
      </c>
      <c r="B22" s="2">
        <v>45302</v>
      </c>
      <c r="C22">
        <v>2024</v>
      </c>
      <c r="D22">
        <v>4</v>
      </c>
      <c r="E22">
        <v>11</v>
      </c>
      <c r="F22">
        <v>1</v>
      </c>
      <c r="G22" t="s">
        <v>81</v>
      </c>
    </row>
    <row r="23" spans="1:7">
      <c r="A23">
        <v>20241115</v>
      </c>
      <c r="B23" s="2">
        <v>45611</v>
      </c>
      <c r="C23">
        <v>2024</v>
      </c>
      <c r="D23">
        <v>4</v>
      </c>
      <c r="E23">
        <v>11</v>
      </c>
      <c r="F23">
        <v>15</v>
      </c>
      <c r="G23" t="s">
        <v>81</v>
      </c>
    </row>
    <row r="24" spans="1:7">
      <c r="A24">
        <v>20241201</v>
      </c>
      <c r="B24" s="2">
        <v>45303</v>
      </c>
      <c r="C24">
        <v>2024</v>
      </c>
      <c r="D24">
        <v>4</v>
      </c>
      <c r="E24">
        <v>12</v>
      </c>
      <c r="F24">
        <v>1</v>
      </c>
      <c r="G24" t="s">
        <v>84</v>
      </c>
    </row>
    <row r="25" spans="1:7">
      <c r="A25">
        <v>20241215</v>
      </c>
      <c r="B25" s="2">
        <v>45641</v>
      </c>
      <c r="C25">
        <v>2024</v>
      </c>
      <c r="D25">
        <v>4</v>
      </c>
      <c r="E25">
        <v>12</v>
      </c>
      <c r="F25">
        <v>15</v>
      </c>
      <c r="G2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Лист5</vt:lpstr>
      <vt:lpstr>Fact_Инвестиции</vt:lpstr>
      <vt:lpstr>Фонд</vt:lpstr>
      <vt:lpstr>ЦеннаяБумага</vt:lpstr>
      <vt:lpstr>Инвестор</vt:lpstr>
      <vt:lpstr>Время</vt:lpstr>
      <vt:lpstr>Fact_Инвестиции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2025-12-23T10:00:50Z</dcterms:created>
  <dcterms:modified xsi:type="dcterms:W3CDTF">2025-12-23T10:25:23Z</dcterms:modified>
</cp:coreProperties>
</file>